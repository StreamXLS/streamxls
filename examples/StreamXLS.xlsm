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xr:revisionPtr revIDLastSave="0" documentId="13_ncr:1_{9D2443EF-66BC-4F87-8CD8-789DAABF2F93}" xr6:coauthVersionLast="47" xr6:coauthVersionMax="47" xr10:uidLastSave="{00000000-0000-0000-0000-000000000000}"/>
  <bookViews>
    <workbookView xWindow="0" yWindow="0" windowWidth="28996" windowHeight="15675" xr2:uid="{6B96E674-7B62-4C97-A39F-88BC38534ECF}"/>
  </bookViews>
  <sheets>
    <sheet name="Status" sheetId="4" r:id="rId1"/>
    <sheet name="Accounts" sheetId="5" r:id="rId2"/>
    <sheet name="Positions" sheetId="7" r:id="rId3"/>
    <sheet name="Orders" sheetId="13" r:id="rId4"/>
    <sheet name="MarketData" sheetId="8" r:id="rId5"/>
    <sheet name="Options" sheetId="12" r:id="rId6"/>
    <sheet name="StageOrder" sheetId="11" r:id="rId7"/>
  </sheets>
  <functionGroups builtInGroupCount="19"/>
  <definedNames>
    <definedName name="_xleta.DELTA" hidden="1" xlm="1">#NAME?</definedName>
    <definedName name="_xleta.GAMMA" hidden="1" xlm="1">#NAME?</definedName>
    <definedName name="_xleta.PRICE" hidden="1" xlm="1">#NAME?</definedName>
    <definedName name="_xleta.PV" hidden="1" xlm="1">#NAME?</definedName>
    <definedName name="_xleta.RIGHT" hidden="1" xlm="1">#NAME?</definedName>
    <definedName name="_xleta.RTD" hidden="1" xlm="1">#NAME?</definedName>
    <definedName name="DemoFormulas" localSheetId="1">Accounts!$B$4:$B$5</definedName>
    <definedName name="DemoFormulas" localSheetId="4">MarketData!$B$6:$B$7,MarketData!$H$5:$H$11</definedName>
    <definedName name="DemoFormulas" localSheetId="5">Options!$A$7,Options!U1,Options!J3,Options!C5:Q5</definedName>
    <definedName name="DemoFormulas" localSheetId="3">Orders!$A$6:$B$6,Orders!$D$6:$D$6,Orders!$L$1:$L$4</definedName>
    <definedName name="DemoFormulas" localSheetId="2">Positions!$B$4,Positions!$A$6:$C$6,Positions!$L$1:$L$3</definedName>
    <definedName name="DemoFormulas" localSheetId="0">Status!$C$5:$C$30</definedName>
    <definedName name="ExampleExpiry">YEAR(EDATE(TODAY(),1))*10000+CEILING(MONTH(EDATE(TODAY(),1)),3)*100+15+MOD(6-WEEKDAY(DATE(YEAR(EDATE(TODAY(),1)),CEILING(MONTH(EDATE(TODAY(),1)),3),1)),7)</definedName>
    <definedName name="StageOrderForm" comment="Bound of the StageOrder key/value form. The Stage Order button (macro StageOrder.StageOrder) reads only this range; keys below it are ignored. Extend it when the form grows.">StageOrder!$A$5:$B$36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8" l="1" a="1"/>
  <c r="D1" i="4" a="1"/>
  <c r="K3" i="12"/>
  <c r="C3" i="12"/>
  <c r="B5" i="7" a="1"/>
  <c r="E4" i="12" a="1"/>
  <c r="K4" i="12" a="1"/>
  <c r="D5" i="13" a="1"/>
  <c r="B5" i="13" a="1"/>
  <c r="A5" i="5" a="1"/>
  <c r="A2" i="11"/>
  <c r="A2" i="12"/>
  <c r="G9" i="8"/>
  <c r="G8" i="8"/>
  <c r="G7" i="8"/>
  <c r="A2" i="8"/>
  <c r="A2" i="13"/>
  <c r="A2" i="7"/>
  <c r="A2" i="5"/>
  <c r="B39" i="4" l="1"/>
  <c r="C39" i="4"/>
  <c r="B38" i="4"/>
  <c r="C38" i="4"/>
  <c r="B36" i="4"/>
  <c r="B37" i="4"/>
  <c r="B34" i="4"/>
  <c r="B35" i="4"/>
  <c r="B33" i="4"/>
  <c r="C33" i="4"/>
  <c r="D4" i="4"/>
  <c r="A32" i="4"/>
  <c r="D2" i="4"/>
  <c r="D3" i="4"/>
  <c r="V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9ACB006-6357-41E6-B2BE-DA9A8BEF6342}">
      <text>
        <r>
          <rPr>
            <sz val="9"/>
            <color indexed="81"/>
            <rFont val="Tahoma"/>
            <family val="2"/>
          </rPr>
          <t>Connection for every sheet (optional): blank = TWS live (7496); paper, gw, gwpaper, port=NNNN, host=NAME or host:port. Each sheet's A2 follows this cell.</t>
        </r>
      </text>
    </comment>
    <comment ref="A3" authorId="0" shapeId="0" xr:uid="{326B5A06-17EC-4518-864B-2FC1E3E29254}">
      <text>
        <r>
          <rPr>
            <sz val="9"/>
            <color indexed="81"/>
            <rFont val="Tahoma"/>
            <family val="2"/>
          </rPr>
          <t>Editing changes the throttle via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A146A9A-85F5-4FE9-AB4E-2DBAB59A3590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  <comment ref="A7" authorId="0" shapeId="0" xr:uid="{8A746A93-76DE-4E5D-B8C3-E2310CAE66AF}">
      <text>
        <r>
          <rPr>
            <sz val="9"/>
            <color indexed="81"/>
            <rFont val="Tahoma"/>
            <family val="2"/>
          </rPr>
          <t>The account ID number</t>
        </r>
      </text>
    </comment>
    <comment ref="A8" authorId="0" shapeId="0" xr:uid="{87104EA3-9984-4D02-B4A5-F841AE694472}">
      <text>
        <r>
          <rPr>
            <sz val="9"/>
            <color indexed="81"/>
            <rFont val="Tahoma"/>
            <family val="2"/>
          </rPr>
          <t>For internal use only</t>
        </r>
      </text>
    </comment>
    <comment ref="A9" authorId="0" shapeId="0" xr:uid="{34EE79F8-CEE6-4EAF-924E-82B58AAD5310}">
      <text>
        <r>
          <rPr>
            <sz val="9"/>
            <color indexed="81"/>
            <rFont val="Tahoma"/>
            <family val="2"/>
          </rPr>
          <t>Identifies the IB account structure</t>
        </r>
      </text>
    </comment>
    <comment ref="A10" authorId="0" shapeId="0" xr:uid="{8269E493-6B47-4B9B-B9AB-D689BA2302CB}">
      <text>
        <r>
          <rPr>
            <sz val="9"/>
            <color indexed="81"/>
            <rFont val="Tahoma"/>
            <family val="2"/>
          </rPr>
          <t>Total accrued cash value of stock, commodities and securities</t>
        </r>
      </text>
    </comment>
    <comment ref="A11" authorId="0" shapeId="0" xr:uid="{99256DD9-D416-4258-B2BB-A20E1382AC5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commodity segment</t>
        </r>
      </text>
    </comment>
    <comment ref="A12" authorId="0" shapeId="0" xr:uid="{6DBBC775-2B3A-406C-AB21-FB776BAEA56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security segment</t>
        </r>
      </text>
    </comment>
    <comment ref="A13" authorId="0" shapeId="0" xr:uid="{E4047F34-D929-46F8-AA64-306975729473}">
      <text>
        <r>
          <rPr>
            <sz val="9"/>
            <color indexed="81"/>
            <rFont val="Tahoma"/>
            <family val="2"/>
          </rPr>
          <t>Total portfolio value of dividends accrued</t>
        </r>
      </text>
    </comment>
    <comment ref="A14" authorId="0" shapeId="0" xr:uid="{4269AFB5-52E7-44B9-A8C0-39B1D96B28EF}">
      <text>
        <r>
          <rPr>
            <sz val="9"/>
            <color indexed="81"/>
            <rFont val="Tahoma"/>
            <family val="2"/>
          </rPr>
          <t>Dividends accrued but not paid in commodity segment</t>
        </r>
      </text>
    </comment>
    <comment ref="A15" authorId="0" shapeId="0" xr:uid="{E1006CC7-5297-411F-8ACB-3A668A61A64D}">
      <text>
        <r>
          <rPr>
            <sz val="9"/>
            <color indexed="81"/>
            <rFont val="Tahoma"/>
            <family val="2"/>
          </rPr>
          <t>Dividends accrued but not paid in security segment</t>
        </r>
      </text>
    </comment>
    <comment ref="A16" authorId="0" shapeId="0" xr:uid="{D231383F-71C9-45F7-A0D6-4C9E451A732E}">
      <text>
        <r>
          <rPr>
            <sz val="9"/>
            <color indexed="81"/>
            <rFont val="Tahoma"/>
            <family val="2"/>
          </rPr>
          <t>This value tells what you have available for trading</t>
        </r>
      </text>
    </comment>
    <comment ref="A17" authorId="0" shapeId="0" xr:uid="{D353BF93-9E4D-42B2-B839-80FB6C816185}">
      <text>
        <r>
          <rPr>
            <sz val="9"/>
            <color indexed="81"/>
            <rFont val="Tahoma"/>
            <family val="2"/>
          </rPr>
          <t>Net Liquidation Value - Initial Margin</t>
        </r>
      </text>
    </comment>
    <comment ref="A18" authorId="0" shapeId="0" xr:uid="{E20A2406-0BA8-46A9-BA53-2A37EB9559BA}">
      <text>
        <r>
          <rPr>
            <sz val="9"/>
            <color indexed="81"/>
            <rFont val="Tahoma"/>
            <family val="2"/>
          </rPr>
          <t>Equity with Loan Value - Initial Margin</t>
        </r>
      </text>
    </comment>
    <comment ref="A19" authorId="0" shapeId="0" xr:uid="{F91C4D4C-AE32-4A84-B477-C51DD58A2B36}">
      <text>
        <r>
          <rPr>
            <sz val="9"/>
            <color indexed="81"/>
            <rFont val="Tahoma"/>
            <family val="2"/>
          </rPr>
          <t>Total portfolio value of treasury bills</t>
        </r>
      </text>
    </comment>
    <comment ref="A20" authorId="0" shapeId="0" xr:uid="{79CCDC4F-5711-4B12-8B77-3992FE60EF12}">
      <text>
        <r>
          <rPr>
            <sz val="9"/>
            <color indexed="81"/>
            <rFont val="Tahoma"/>
            <family val="2"/>
          </rPr>
          <t>Value of treasury bills in commodity segment</t>
        </r>
      </text>
    </comment>
    <comment ref="A21" authorId="0" shapeId="0" xr:uid="{1E2F24CC-8DF5-4DE0-9DD0-3D173396D839}">
      <text>
        <r>
          <rPr>
            <sz val="9"/>
            <color indexed="81"/>
            <rFont val="Tahoma"/>
            <family val="2"/>
          </rPr>
          <t>Value of treasury bills in security segment</t>
        </r>
      </text>
    </comment>
    <comment ref="A22" authorId="0" shapeId="0" xr:uid="{3136A8A9-1AAF-4188-9F0D-41E43F58B1B3}">
      <text>
        <r>
          <rPr>
            <sz val="9"/>
            <color indexed="81"/>
            <rFont val="Tahoma"/>
            <family val="2"/>
          </rPr>
          <t>Buying power serves as a measurement of the dollar value of securities that one may purchase in a securities account without depositing additional funds</t>
        </r>
      </text>
    </comment>
    <comment ref="A23" authorId="0" shapeId="0" xr:uid="{7062BA9C-10C9-4CCA-9086-5453958AA41F}">
      <text>
        <r>
          <rPr>
            <sz val="9"/>
            <color indexed="81"/>
            <rFont val="Tahoma"/>
            <family val="2"/>
          </rPr>
          <t>Cash recognized at the time of trade + futures PNL</t>
        </r>
      </text>
    </comment>
    <comment ref="A25" authorId="0" shapeId="0" xr:uid="{65258A10-11D1-4EA6-B620-C3FCFAF8B58D}">
      <text>
        <r>
          <rPr>
            <sz val="9"/>
            <color indexed="81"/>
            <rFont val="Tahoma"/>
            <family val="2"/>
          </rPr>
          <t>Value of non-Government bonds such as corporate bonds and municipal bonds</t>
        </r>
      </text>
    </comment>
    <comment ref="A26" authorId="0" shapeId="0" xr:uid="{F8930F71-DE23-4E94-B726-708AE8E5717F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27" authorId="0" shapeId="0" xr:uid="{0722F7BE-F978-4563-9717-C3411AD7A459}">
      <text>
        <r>
          <rPr>
            <sz val="9"/>
            <color indexed="81"/>
            <rFont val="Tahoma"/>
            <family val="2"/>
          </rPr>
          <t>Excess liquidity as a percentage of net liquidation value</t>
        </r>
      </text>
    </comment>
    <comment ref="A29" authorId="0" shapeId="0" xr:uid="{95A54B79-1BE2-4BC7-95EF-66153119CC9B}">
      <text>
        <r>
          <rPr>
            <sz val="9"/>
            <color indexed="81"/>
            <rFont val="Tahoma"/>
            <family val="2"/>
          </rPr>
          <t>The Number of Open/Close trades a user could put on before Pattern Day Trading is detected. A value of "-1" means that the user can put on unlimited day trades.</t>
        </r>
      </text>
    </comment>
    <comment ref="A30" authorId="0" shapeId="0" xr:uid="{839595FC-FCD8-4960-9D69-DD66972FC67B}">
      <text>
        <r>
          <rPr>
            <sz val="9"/>
            <color indexed="81"/>
            <rFont val="Tahoma"/>
            <family val="2"/>
          </rPr>
          <t>Number of Open/Close trades one could do tomorrow before Pattern Day Trading is detected</t>
        </r>
      </text>
    </comment>
    <comment ref="A31" authorId="0" shapeId="0" xr:uid="{682BD60F-0602-4896-BF66-53E19A8CF0A5}">
      <text>
        <r>
          <rPr>
            <sz val="9"/>
            <color indexed="81"/>
            <rFont val="Tahoma"/>
            <family val="2"/>
          </rPr>
          <t>Number of Open/Close trades one could do two days from today before Pattern Day Trading is detected</t>
        </r>
      </text>
    </comment>
    <comment ref="A32" authorId="0" shapeId="0" xr:uid="{58AB5626-11EE-452E-9614-CC901886B157}">
      <text>
        <r>
          <rPr>
            <sz val="9"/>
            <color indexed="81"/>
            <rFont val="Tahoma"/>
            <family val="2"/>
          </rPr>
          <t>Number of Open/Close trades one could do three days from today before Pattern Day Trading is detected</t>
        </r>
      </text>
    </comment>
    <comment ref="A33" authorId="0" shapeId="0" xr:uid="{E57F3D6A-C847-42B4-8A9A-13501825CE16}">
      <text>
        <r>
          <rPr>
            <sz val="9"/>
            <color indexed="81"/>
            <rFont val="Tahoma"/>
            <family val="2"/>
          </rPr>
          <t>Number of Open/Close trades one could do four days from today before Pattern Day Trading is detected</t>
        </r>
      </text>
    </comment>
    <comment ref="A37" authorId="0" shapeId="0" xr:uid="{90AD0C85-850A-4813-A5D8-106488604502}">
      <text>
        <r>
          <rPr>
            <sz val="9"/>
            <color indexed="81"/>
            <rFont val="Tahoma"/>
            <family val="2"/>
          </rPr>
          <t>Forms the basis for determining whether a client has the necessary assets to either initiate or maintain security positions. Cash + stocks + bonds + mutual funds</t>
        </r>
      </text>
    </comment>
    <comment ref="A38" authorId="0" shapeId="0" xr:uid="{DAD786E7-2317-4D41-B93E-DC1E2A324686}">
      <text>
        <r>
          <rPr>
            <sz val="9"/>
            <color indexed="81"/>
            <rFont val="Tahoma"/>
            <family val="2"/>
          </rPr>
          <t>Cash account: Total cash value + commodities option value - futures maintenance margin requirement + minimum (0, futures PNL) Margin account: Total cash value + commodities option value - futures maintenance margin requirement</t>
        </r>
      </text>
    </comment>
    <comment ref="A39" authorId="0" shapeId="0" xr:uid="{45AEFA25-50A6-4263-9C23-FB7D6CCD8B57}">
      <text>
        <r>
          <rPr>
            <sz val="9"/>
            <color indexed="81"/>
            <rFont val="Tahoma"/>
            <family val="2"/>
          </rPr>
          <t>Cash account: Settled Cash Margin Account: Total cash value + stock value + bond value + (non-U.S. &amp; Canada securities options value)</t>
        </r>
      </text>
    </comment>
    <comment ref="A40" authorId="0" shapeId="0" xr:uid="{3FAA65D4-7AFC-4EAF-B01C-F78668A7BE80}">
      <text>
        <r>
          <rPr>
            <sz val="9"/>
            <color indexed="81"/>
            <rFont val="Tahoma"/>
            <family val="2"/>
          </rPr>
          <t>This value shows your margin cushion, before liquidation</t>
        </r>
      </text>
    </comment>
    <comment ref="A41" authorId="0" shapeId="0" xr:uid="{43EFA05A-0F2D-423B-9D9E-09B8044AAF8D}">
      <text>
        <r>
          <rPr>
            <sz val="9"/>
            <color indexed="81"/>
            <rFont val="Tahoma"/>
            <family val="2"/>
          </rPr>
          <t>Equity with Loan Value - Maintenance Margin</t>
        </r>
      </text>
    </comment>
    <comment ref="A42" authorId="0" shapeId="0" xr:uid="{022DBD71-CDD6-4215-8E44-C0106FC758C0}">
      <text>
        <r>
          <rPr>
            <sz val="9"/>
            <color indexed="81"/>
            <rFont val="Tahoma"/>
            <family val="2"/>
          </rPr>
          <t>Net Liquidation Value - Maintenance Margin</t>
        </r>
      </text>
    </comment>
    <comment ref="A43" authorId="0" shapeId="0" xr:uid="{865134E9-4FCE-4484-928D-23DEF7540DC7}">
      <text>
        <r>
          <rPr>
            <sz val="9"/>
            <color indexed="81"/>
            <rFont val="Tahoma"/>
            <family val="2"/>
          </rPr>
          <t>The exchange rate of the currency to your base currency</t>
        </r>
      </text>
    </comment>
    <comment ref="A44" authorId="0" shapeId="0" xr:uid="{46218F14-019A-452D-B8EA-6CA468DD61FD}">
      <text>
        <r>
          <rPr>
            <sz val="9"/>
            <color indexed="81"/>
            <rFont val="Tahoma"/>
            <family val="2"/>
          </rPr>
          <t>Available funds of whole portfolio with no discounts or intraday credits</t>
        </r>
      </text>
    </comment>
    <comment ref="A45" authorId="0" shapeId="0" xr:uid="{EEBB1F4C-D389-480D-9847-088892895540}">
      <text>
        <r>
          <rPr>
            <sz val="9"/>
            <color indexed="81"/>
            <rFont val="Tahoma"/>
            <family val="2"/>
          </rPr>
          <t>Net Liquidation Value - Full Initial Margin</t>
        </r>
      </text>
    </comment>
    <comment ref="A46" authorId="0" shapeId="0" xr:uid="{0A091740-76D8-4F3A-84FC-3EAEC0F81EF4}">
      <text>
        <r>
          <rPr>
            <sz val="9"/>
            <color indexed="81"/>
            <rFont val="Tahoma"/>
            <family val="2"/>
          </rPr>
          <t>Equity with Loan Value - Full Initial Margin</t>
        </r>
      </text>
    </comment>
    <comment ref="A47" authorId="0" shapeId="0" xr:uid="{7A7FED16-8339-44E1-A42E-A4C37EA0730D}">
      <text>
        <r>
          <rPr>
            <sz val="9"/>
            <color indexed="81"/>
            <rFont val="Tahoma"/>
            <family val="2"/>
          </rPr>
          <t>Excess liquidity of whole portfolio with no discounts or intraday credits</t>
        </r>
      </text>
    </comment>
    <comment ref="A48" authorId="0" shapeId="0" xr:uid="{28097B6C-903E-4464-9DAF-8DED2DA0A178}">
      <text>
        <r>
          <rPr>
            <sz val="9"/>
            <color indexed="81"/>
            <rFont val="Tahoma"/>
            <family val="2"/>
          </rPr>
          <t>Net Liquidation Value - Full Maintenance Margin</t>
        </r>
      </text>
    </comment>
    <comment ref="A49" authorId="0" shapeId="0" xr:uid="{6EA9CF93-37FE-435C-A13C-39474C51FDA4}">
      <text>
        <r>
          <rPr>
            <sz val="9"/>
            <color indexed="81"/>
            <rFont val="Tahoma"/>
            <family val="2"/>
          </rPr>
          <t>Equity with Loan Value - Full Maintenance Margin</t>
        </r>
      </text>
    </comment>
    <comment ref="A50" authorId="0" shapeId="0" xr:uid="{96E87D62-DC74-4BA0-927B-4036A5B44FC5}">
      <text>
        <r>
          <rPr>
            <sz val="9"/>
            <color indexed="81"/>
            <rFont val="Tahoma"/>
            <family val="2"/>
          </rPr>
          <t>Initial Margin of whole portfolio with no discounts or intraday credits</t>
        </r>
      </text>
    </comment>
    <comment ref="A51" authorId="0" shapeId="0" xr:uid="{DA6016BC-68FC-458D-A65A-91D733589EA2}">
      <text>
        <r>
          <rPr>
            <sz val="9"/>
            <color indexed="81"/>
            <rFont val="Tahoma"/>
            <family val="2"/>
          </rPr>
          <t>Initial Margin of commodity segment's portfolio with no discounts or intraday credits</t>
        </r>
      </text>
    </comment>
    <comment ref="A52" authorId="0" shapeId="0" xr:uid="{F11DAD7E-D20D-4E30-907F-3945710F53CB}">
      <text>
        <r>
          <rPr>
            <sz val="9"/>
            <color indexed="81"/>
            <rFont val="Tahoma"/>
            <family val="2"/>
          </rPr>
          <t>Initial Margin of security segment's portfolio with no discounts or intraday credits</t>
        </r>
      </text>
    </comment>
    <comment ref="A53" authorId="0" shapeId="0" xr:uid="{BC82F0BE-17C1-4C05-848C-632E6322E70C}">
      <text>
        <r>
          <rPr>
            <sz val="9"/>
            <color indexed="81"/>
            <rFont val="Tahoma"/>
            <family val="2"/>
          </rPr>
          <t>Maintenance Margin of whole portfolio with no discounts or intraday credits</t>
        </r>
      </text>
    </comment>
    <comment ref="A54" authorId="0" shapeId="0" xr:uid="{2CC89FAF-9F58-4567-BAFE-83D0CAAB863B}">
      <text>
        <r>
          <rPr>
            <sz val="9"/>
            <color indexed="81"/>
            <rFont val="Tahoma"/>
            <family val="2"/>
          </rPr>
          <t>Maintenance Margin of commodity segment's portfolio with no discounts or intraday credits</t>
        </r>
      </text>
    </comment>
    <comment ref="A55" authorId="0" shapeId="0" xr:uid="{5C58E330-5268-44DC-BB87-93FE5905A7A8}">
      <text>
        <r>
          <rPr>
            <sz val="9"/>
            <color indexed="81"/>
            <rFont val="Tahoma"/>
            <family val="2"/>
          </rPr>
          <t>Maintenance Margin of security segment's portfolio with no discounts or intraday credits</t>
        </r>
      </text>
    </comment>
    <comment ref="A56" authorId="0" shapeId="0" xr:uid="{59C96B22-999C-4DC6-958A-4DF1CE89E45B}">
      <text>
        <r>
          <rPr>
            <sz val="9"/>
            <color indexed="81"/>
            <rFont val="Tahoma"/>
            <family val="2"/>
          </rPr>
          <t>Value of funds value (money market funds + mutual funds)</t>
        </r>
      </text>
    </comment>
    <comment ref="A57" authorId="0" shapeId="0" xr:uid="{3F042680-3FD7-42B9-A87C-8DA1D86C1B3E}">
      <text>
        <r>
          <rPr>
            <sz val="9"/>
            <color indexed="81"/>
            <rFont val="Tahoma"/>
            <family val="2"/>
          </rPr>
          <t>Real-time market-to-market value of futures options</t>
        </r>
      </text>
    </comment>
    <comment ref="A58" authorId="0" shapeId="0" xr:uid="{859DAC22-EC0B-4914-8A10-037CC2C72708}">
      <text>
        <r>
          <rPr>
            <sz val="9"/>
            <color indexed="81"/>
            <rFont val="Tahoma"/>
            <family val="2"/>
          </rPr>
          <t>Real-time changes in futures value since last settlement</t>
        </r>
      </text>
    </comment>
    <comment ref="A59" authorId="0" shapeId="0" xr:uid="{A93C14C2-93D4-4F6E-ADD2-B3BD82F5C364}">
      <text>
        <r>
          <rPr>
            <sz val="9"/>
            <color indexed="81"/>
            <rFont val="Tahoma"/>
            <family val="2"/>
          </rPr>
          <t>Cash balance in related IB-UKL account</t>
        </r>
      </text>
    </comment>
    <comment ref="A60" authorId="0" shapeId="0" xr:uid="{38AE7FB6-B840-4D06-AF12-2775B6FC2996}">
      <text>
        <r>
          <rPr>
            <sz val="9"/>
            <color indexed="81"/>
            <rFont val="Tahoma"/>
            <family val="2"/>
          </rPr>
          <t>The sum of the absolute value of all stock and equity option positions</t>
        </r>
      </text>
    </comment>
    <comment ref="A61" authorId="0" shapeId="0" xr:uid="{C383ADE7-B8C2-4BE0-89B0-CECC6522D06F}">
      <text>
        <r>
          <rPr>
            <sz val="9"/>
            <color indexed="81"/>
            <rFont val="Tahoma"/>
            <family val="2"/>
          </rPr>
          <t>Long Stock Value + Short Stock Value + Long Option Value + Short Option Value</t>
        </r>
      </text>
    </comment>
    <comment ref="A64" authorId="0" shapeId="0" xr:uid="{FCCC310A-4D28-405B-800C-F999648800E8}">
      <text>
        <r>
          <rPr>
            <sz val="9"/>
            <color indexed="81"/>
            <rFont val="Tahoma"/>
            <family val="2"/>
          </rPr>
          <t>A measure of how close the account is to liquidation</t>
        </r>
      </text>
    </comment>
    <comment ref="A67" authorId="0" shapeId="0" xr:uid="{21979EEA-F89D-4562-BDA4-12B0403B8DA6}">
      <text>
        <r>
          <rPr>
            <sz val="9"/>
            <color indexed="81"/>
            <rFont val="Tahoma"/>
            <family val="2"/>
          </rPr>
          <t>Margin rule for IB-IN accounts</t>
        </r>
      </text>
    </comment>
    <comment ref="A69" authorId="0" shapeId="0" xr:uid="{CFA5D9BA-E9B3-435B-9EFE-1143A2C95746}">
      <text>
        <r>
          <rPr>
            <sz val="9"/>
            <color indexed="81"/>
            <rFont val="Tahoma"/>
            <family val="2"/>
          </rPr>
          <t>Initial Margin requirement of whole portfolio</t>
        </r>
      </text>
    </comment>
    <comment ref="A70" authorId="0" shapeId="0" xr:uid="{E399AE91-63CD-44B3-AC37-2CAA00ACF3D4}">
      <text>
        <r>
          <rPr>
            <sz val="9"/>
            <color indexed="81"/>
            <rFont val="Tahoma"/>
            <family val="2"/>
          </rPr>
          <t>Initial Margin of the commodity segment in base currency</t>
        </r>
      </text>
    </comment>
    <comment ref="A71" authorId="0" shapeId="0" xr:uid="{7F782E7A-1FCC-4493-9F49-E4E13B01C8BD}">
      <text>
        <r>
          <rPr>
            <sz val="9"/>
            <color indexed="81"/>
            <rFont val="Tahoma"/>
            <family val="2"/>
          </rPr>
          <t>Initial Margin of the security segment in base currency</t>
        </r>
      </text>
    </comment>
    <comment ref="A72" authorId="0" shapeId="0" xr:uid="{D19B5B16-4ED8-4A37-B86C-90F508197AD9}">
      <text>
        <r>
          <rPr>
            <sz val="9"/>
            <color indexed="81"/>
            <rFont val="Tahoma"/>
            <family val="2"/>
          </rPr>
          <t>Real-time mark-to-market value of Issued Option</t>
        </r>
      </text>
    </comment>
    <comment ref="A73" authorId="0" shapeId="0" xr:uid="{C857EEE4-C94A-495F-8846-52E117744859}">
      <text>
        <r>
          <rPr>
            <sz val="9"/>
            <color indexed="81"/>
            <rFont val="Tahoma"/>
            <family val="2"/>
          </rPr>
          <t>GrossPositionValue / NetLiquidation</t>
        </r>
      </text>
    </comment>
    <comment ref="A74" authorId="0" shapeId="0" xr:uid="{AEEF37D5-9398-4669-BC70-BD6503E3DCDE}">
      <text>
        <r>
          <rPr>
            <sz val="9"/>
            <color indexed="81"/>
            <rFont val="Tahoma"/>
            <family val="2"/>
          </rPr>
          <t>GrossPositionValue / NetLiquidation in security segment</t>
        </r>
      </text>
    </comment>
    <comment ref="A75" authorId="0" shapeId="0" xr:uid="{28E61F70-1BC9-49AB-955A-9CEFF0064EAF}">
      <text>
        <r>
          <rPr>
            <sz val="9"/>
            <color indexed="81"/>
            <rFont val="Tahoma"/>
            <family val="2"/>
          </rPr>
          <t>This value reflects your available funds at the next margin change</t>
        </r>
      </text>
    </comment>
    <comment ref="A76" authorId="0" shapeId="0" xr:uid="{E8B1EAAF-1EC2-4308-A9F4-5D391866678B}">
      <text>
        <r>
          <rPr>
            <sz val="9"/>
            <color indexed="81"/>
            <rFont val="Tahoma"/>
            <family val="2"/>
          </rPr>
          <t>Net Liquidation Value - look ahead Initial Margin</t>
        </r>
      </text>
    </comment>
    <comment ref="A77" authorId="0" shapeId="0" xr:uid="{8EDA03FC-69E4-47F7-BC14-FE6A6FE9BCCD}">
      <text>
        <r>
          <rPr>
            <sz val="9"/>
            <color indexed="81"/>
            <rFont val="Tahoma"/>
            <family val="2"/>
          </rPr>
          <t>Equity with Loan Value - look ahead Initial Margin</t>
        </r>
      </text>
    </comment>
    <comment ref="A78" authorId="0" shapeId="0" xr:uid="{DDAE800E-79B8-49AF-A612-6880C227CB0A}">
      <text>
        <r>
          <rPr>
            <sz val="9"/>
            <color indexed="81"/>
            <rFont val="Tahoma"/>
            <family val="2"/>
          </rPr>
          <t>This value reflects your excess liquidity at the next margin change</t>
        </r>
      </text>
    </comment>
    <comment ref="A79" authorId="0" shapeId="0" xr:uid="{FFA4508D-74D4-4A72-97C3-8D2C7680DDED}">
      <text>
        <r>
          <rPr>
            <sz val="9"/>
            <color indexed="81"/>
            <rFont val="Tahoma"/>
            <family val="2"/>
          </rPr>
          <t>Net Liquidation Value - look ahead Maintenance Margin</t>
        </r>
      </text>
    </comment>
    <comment ref="A80" authorId="0" shapeId="0" xr:uid="{9635D400-55AB-4A54-BCA3-73DAEAA7EC59}">
      <text>
        <r>
          <rPr>
            <sz val="9"/>
            <color indexed="81"/>
            <rFont val="Tahoma"/>
            <family val="2"/>
          </rPr>
          <t>Equity with Loan Value - look ahead Maintenance Margin</t>
        </r>
      </text>
    </comment>
    <comment ref="A81" authorId="0" shapeId="0" xr:uid="{55AF7A6B-FF02-4039-BECB-D3B8A93CBE99}">
      <text>
        <r>
          <rPr>
            <sz val="9"/>
            <color indexed="81"/>
            <rFont val="Tahoma"/>
            <family val="2"/>
          </rPr>
          <t>Initial margin requirement of whole portfolio as of next period's margin change</t>
        </r>
      </text>
    </comment>
    <comment ref="A82" authorId="0" shapeId="0" xr:uid="{F38EF97E-4980-4776-9751-4B9382E69446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3" authorId="0" shapeId="0" xr:uid="{2C6854D4-6582-4097-AA15-894A9892326F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4" authorId="0" shapeId="0" xr:uid="{04AA20CC-B646-49E2-BF88-B05B24144470}">
      <text>
        <r>
          <rPr>
            <sz val="9"/>
            <color indexed="81"/>
            <rFont val="Tahoma"/>
            <family val="2"/>
          </rPr>
          <t>Maintenance margin requirement of whole portfolio as of next period's margin change</t>
        </r>
      </text>
    </comment>
    <comment ref="A85" authorId="0" shapeId="0" xr:uid="{2D34DF9E-8C1D-4B81-ADCA-1111B39ABD2A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6" authorId="0" shapeId="0" xr:uid="{59C6B341-7005-4186-901F-E9DFD6ED2CEC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7" authorId="0" shapeId="0" xr:uid="{6D7B55E0-6A01-471F-B043-337A4A5BEE23}">
      <text>
        <r>
          <rPr>
            <sz val="9"/>
            <color indexed="81"/>
            <rFont val="Tahoma"/>
            <family val="2"/>
          </rPr>
          <t>Time (Unix Timestamp) when look-ahead values take effect</t>
        </r>
      </text>
    </comment>
    <comment ref="A88" authorId="0" shapeId="0" xr:uid="{6CED0AB6-6D8D-419A-8E61-21A4BAF12518}">
      <text>
        <r>
          <rPr>
            <sz val="9"/>
            <color indexed="81"/>
            <rFont val="Tahoma"/>
            <family val="2"/>
          </rPr>
          <t>Maintenance Margin requirement of whole portfolio</t>
        </r>
      </text>
    </comment>
    <comment ref="A89" authorId="0" shapeId="0" xr:uid="{4EF661D9-9CAA-48A8-9486-2C4D9475E603}">
      <text>
        <r>
          <rPr>
            <sz val="9"/>
            <color indexed="81"/>
            <rFont val="Tahoma"/>
            <family val="2"/>
          </rPr>
          <t>Maintenance Margin for the commodity segment</t>
        </r>
      </text>
    </comment>
    <comment ref="A90" authorId="0" shapeId="0" xr:uid="{088CFE27-A0BF-4EB3-BE06-5C92D02CCBB0}">
      <text>
        <r>
          <rPr>
            <sz val="9"/>
            <color indexed="81"/>
            <rFont val="Tahoma"/>
            <family val="2"/>
          </rPr>
          <t>Maintenance Margin for the security segment</t>
        </r>
      </text>
    </comment>
    <comment ref="A91" authorId="0" shapeId="0" xr:uid="{4043FCD2-B2FC-44AA-87B1-CD15AB76B31B}">
      <text>
        <r>
          <rPr>
            <sz val="9"/>
            <color indexed="81"/>
            <rFont val="Tahoma"/>
            <family val="2"/>
          </rPr>
          <t>Market value of money market funds excluding mutual funds</t>
        </r>
      </text>
    </comment>
    <comment ref="A92" authorId="0" shapeId="0" xr:uid="{18091D67-F7CA-4D68-A515-9076C484FB28}">
      <text>
        <r>
          <rPr>
            <sz val="9"/>
            <color indexed="81"/>
            <rFont val="Tahoma"/>
            <family val="2"/>
          </rPr>
          <t>Market value of mutual funds excluding money market funds</t>
        </r>
      </text>
    </comment>
    <comment ref="A93" authorId="0" shapeId="0" xr:uid="{2030D3FE-D419-4BEF-B020-9FAFBD3AF395}">
      <text>
        <r>
          <rPr>
            <sz val="9"/>
            <color indexed="81"/>
            <rFont val="Tahoma"/>
            <family val="2"/>
          </rPr>
          <t>The sum of the Dividend Payable/Receivable Values for the securities and commodities segments of the account</t>
        </r>
      </text>
    </comment>
    <comment ref="A94" authorId="0" shapeId="0" xr:uid="{ACB7A248-CC84-40FB-9CB1-E8BC0AD1748C}">
      <text>
        <r>
          <rPr>
            <sz val="9"/>
            <color indexed="81"/>
            <rFont val="Tahoma"/>
            <family val="2"/>
          </rPr>
          <t>The basis for determining the price of the assets in your account. Total cash value + stock value + options value + bond value</t>
        </r>
      </text>
    </comment>
    <comment ref="A95" authorId="0" shapeId="0" xr:uid="{B58E08A1-7DBC-44EC-BE8A-91F4314112EA}">
      <text>
        <r>
          <rPr>
            <sz val="9"/>
            <color indexed="81"/>
            <rFont val="Tahoma"/>
            <family val="2"/>
          </rPr>
          <t>Net liquidation for individual currencies</t>
        </r>
      </text>
    </comment>
    <comment ref="A96" authorId="0" shapeId="0" xr:uid="{8A920FC8-B60C-4EBE-AFFF-F4E90033D4C2}">
      <text>
        <r>
          <rPr>
            <sz val="9"/>
            <color indexed="81"/>
            <rFont val="Tahoma"/>
            <family val="2"/>
          </rPr>
          <t>Total cash value + futures PNL + commodities options value</t>
        </r>
      </text>
    </comment>
    <comment ref="A97" authorId="0" shapeId="0" xr:uid="{F3C8AE91-E889-4816-997C-4B45C1732B4C}">
      <text>
        <r>
          <rPr>
            <sz val="9"/>
            <color indexed="81"/>
            <rFont val="Tahoma"/>
            <family val="2"/>
          </rPr>
          <t>Total cash value + stock value + securities options value + bond value</t>
        </r>
      </text>
    </comment>
    <comment ref="A100" authorId="0" shapeId="0" xr:uid="{B58F7990-065F-42F2-AAF8-318A64FBF301}">
      <text>
        <r>
          <rPr>
            <sz val="9"/>
            <color indexed="81"/>
            <rFont val="Tahoma"/>
            <family val="2"/>
          </rPr>
          <t>Real-time mark-to-market value of options</t>
        </r>
      </text>
    </comment>
    <comment ref="A101" authorId="0" shapeId="0" xr:uid="{C5CCC794-A413-4CA7-B97A-74EA4512F5F0}">
      <text>
        <r>
          <rPr>
            <sz val="9"/>
            <color indexed="81"/>
            <rFont val="Tahoma"/>
            <family val="2"/>
          </rPr>
          <t>Personal Account shares value of whole portfolio</t>
        </r>
      </text>
    </comment>
    <comment ref="A102" authorId="0" shapeId="0" xr:uid="{7A0436D2-83B8-42D7-8274-77B7A2A83D5C}">
      <text>
        <r>
          <rPr>
            <sz val="9"/>
            <color indexed="81"/>
            <rFont val="Tahoma"/>
            <family val="2"/>
          </rPr>
          <t>Personal Account shares value in commodity segment</t>
        </r>
      </text>
    </comment>
    <comment ref="A103" authorId="0" shapeId="0" xr:uid="{78FC6D8D-0292-4267-A882-A3E711C1C5E4}">
      <text>
        <r>
          <rPr>
            <sz val="9"/>
            <color indexed="81"/>
            <rFont val="Tahoma"/>
            <family val="2"/>
          </rPr>
          <t>Personal Account shares value in security segment</t>
        </r>
      </text>
    </comment>
    <comment ref="A106" authorId="0" shapeId="0" xr:uid="{224D631A-E362-4616-9D0C-7E06C2D52A50}">
      <text>
        <r>
          <rPr>
            <sz val="9"/>
            <color indexed="81"/>
            <rFont val="Tahoma"/>
            <family val="2"/>
          </rPr>
          <t>Total projected "at expiration" excess liquidity</t>
        </r>
      </text>
    </comment>
    <comment ref="A107" authorId="0" shapeId="0" xr:uid="{1B58B691-BE2C-4785-9347-F870716612FE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commodity segment</t>
        </r>
      </text>
    </comment>
    <comment ref="A108" authorId="0" shapeId="0" xr:uid="{3DED8A3E-2703-475C-A7AC-43FFBF2B423B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security segment</t>
        </r>
      </text>
    </comment>
    <comment ref="A109" authorId="0" shapeId="0" xr:uid="{024FA418-4C3A-47D1-AF02-ADD9142C47FC}">
      <text>
        <r>
          <rPr>
            <sz val="9"/>
            <color indexed="81"/>
            <rFont val="Tahoma"/>
            <family val="2"/>
          </rPr>
          <t>Total projected "at expiration" margin</t>
        </r>
      </text>
    </comment>
    <comment ref="A110" authorId="0" shapeId="0" xr:uid="{06BCB7CF-4332-4566-BE72-91CA6B6B052D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commodity segment</t>
        </r>
      </text>
    </comment>
    <comment ref="A111" authorId="0" shapeId="0" xr:uid="{32242C14-28F0-42FF-B742-2974A33687F8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security segment</t>
        </r>
      </text>
    </comment>
    <comment ref="A112" authorId="0" shapeId="0" xr:uid="{85C4FFB2-74B3-4162-986F-6E130A9D6ECC}">
      <text>
        <r>
          <rPr>
            <sz val="9"/>
            <color indexed="81"/>
            <rFont val="Tahoma"/>
            <family val="2"/>
          </rPr>
          <t>Marginable Equity with Loan value as of 16:00 ET the previous day in securities segment</t>
        </r>
      </text>
    </comment>
    <comment ref="A113" authorId="0" shapeId="0" xr:uid="{453BEC45-7DC3-450E-AB6A-B46843851853}">
      <text>
        <r>
          <rPr>
            <sz val="9"/>
            <color indexed="81"/>
            <rFont val="Tahoma"/>
            <family val="2"/>
          </rPr>
          <t>IMarginable Equity with Loan value as of 16:00 ET the previous day</t>
        </r>
      </text>
    </comment>
    <comment ref="A114" authorId="0" shapeId="0" xr:uid="{A64F2E24-3702-4120-8CCC-E0153D6410F1}">
      <text>
        <r>
          <rPr>
            <sz val="9"/>
            <color indexed="81"/>
            <rFont val="Tahoma"/>
            <family val="2"/>
          </rPr>
          <t>Marginable Equity with Loan value as of 16:00 ET the previous day</t>
        </r>
      </text>
    </comment>
    <comment ref="A115" authorId="0" shapeId="0" xr:uid="{B82A1FA9-E11B-4033-ACA0-51086200D145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116" authorId="0" shapeId="0" xr:uid="{6901A3FB-3627-4FE6-B3A8-9F0DB3DFEB53}">
      <text>
        <r>
          <rPr>
            <sz val="9"/>
            <color indexed="81"/>
            <rFont val="Tahoma"/>
            <family val="2"/>
          </rPr>
          <t>Shows your profit on closed positions, which is the difference between your entry execution cost and exit execution costs, or (execution price + commission and fees to open the positions) - (execution price + commission and fees to close the position)</t>
        </r>
      </text>
    </comment>
    <comment ref="A117" authorId="0" shapeId="0" xr:uid="{EF6C3CD2-40B6-403C-B9A6-43C6390F7EDA}">
      <text>
        <r>
          <rPr>
            <sz val="9"/>
            <color indexed="81"/>
            <rFont val="Tahoma"/>
            <family val="2"/>
          </rPr>
          <t>Regulation T equity for universal account</t>
        </r>
      </text>
    </comment>
    <comment ref="A118" authorId="0" shapeId="0" xr:uid="{B4DD4811-4FCD-4C0A-9C9D-4A4CD4AFCAD6}">
      <text>
        <r>
          <rPr>
            <sz val="9"/>
            <color indexed="81"/>
            <rFont val="Tahoma"/>
            <family val="2"/>
          </rPr>
          <t>Regulation T equity for security segment</t>
        </r>
      </text>
    </comment>
    <comment ref="A119" authorId="0" shapeId="0" xr:uid="{4A45ADCE-07F9-4EF6-B968-4BE1FE3A3678}">
      <text>
        <r>
          <rPr>
            <sz val="9"/>
            <color indexed="81"/>
            <rFont val="Tahoma"/>
            <family val="2"/>
          </rPr>
          <t>Regulation T margin for universal account</t>
        </r>
      </text>
    </comment>
    <comment ref="A120" authorId="0" shapeId="0" xr:uid="{085E3D8E-3E18-4A1B-B329-946AB0F6CBE0}">
      <text>
        <r>
          <rPr>
            <sz val="9"/>
            <color indexed="81"/>
            <rFont val="Tahoma"/>
            <family val="2"/>
          </rPr>
          <t>Regulation T margin for security segment</t>
        </r>
      </text>
    </comment>
    <comment ref="A121" authorId="0" shapeId="0" xr:uid="{5DBBC40A-15B4-42CC-BB38-9EF8FAF804DD}">
      <text>
        <r>
          <rPr>
            <sz val="9"/>
            <color indexed="81"/>
            <rFont val="Tahoma"/>
            <family val="2"/>
          </rPr>
          <t>Account segment name</t>
        </r>
      </text>
    </comment>
    <comment ref="A123" authorId="0" shapeId="0" xr:uid="{9B7D5FC0-6625-43EC-A905-7360818CFD28}">
      <text>
        <r>
          <rPr>
            <sz val="9"/>
            <color indexed="81"/>
            <rFont val="Tahoma"/>
            <family val="2"/>
          </rPr>
          <t>Cash recognized at the time of settlement - purchases at the time of trade - commissions - taxes - fees</t>
        </r>
      </text>
    </comment>
    <comment ref="A126" authorId="0" shapeId="0" xr:uid="{A41B11DC-B1D2-4148-8210-E14C8546F226}">
      <text>
        <r>
          <rPr>
            <sz val="9"/>
            <color indexed="81"/>
            <rFont val="Tahoma"/>
            <family val="2"/>
          </rPr>
          <t>Special Memorandum Account: Line of credit created when the market value of securities in a Regulation T account increase in value</t>
        </r>
      </text>
    </comment>
    <comment ref="A127" authorId="0" shapeId="0" xr:uid="{E379A559-A79B-4CDA-88DB-633107C46F80}">
      <text>
        <r>
          <rPr>
            <sz val="9"/>
            <color indexed="81"/>
            <rFont val="Tahoma"/>
            <family val="2"/>
          </rPr>
          <t>Regulation T Special Memorandum Account balance for security segment</t>
        </r>
      </text>
    </comment>
    <comment ref="A128" authorId="0" shapeId="0" xr:uid="{A2B0D264-1992-4C2B-8EF3-7B2CAE1AB364}">
      <text>
        <r>
          <rPr>
            <sz val="9"/>
            <color indexed="81"/>
            <rFont val="Tahoma"/>
            <family val="2"/>
          </rPr>
          <t>Real-time mark-to-market value of stock</t>
        </r>
      </text>
    </comment>
    <comment ref="A129" authorId="0" shapeId="0" xr:uid="{2F41397B-64F6-4B36-8E98-F9F0B04C65BA}">
      <text>
        <r>
          <rPr>
            <sz val="9"/>
            <color indexed="81"/>
            <rFont val="Tahoma"/>
            <family val="2"/>
          </rPr>
          <t>Value of treasury bills</t>
        </r>
      </text>
    </comment>
    <comment ref="A130" authorId="0" shapeId="0" xr:uid="{16523E8E-1378-4842-89CF-D49A2600F689}">
      <text>
        <r>
          <rPr>
            <sz val="9"/>
            <color indexed="81"/>
            <rFont val="Tahoma"/>
            <family val="2"/>
          </rPr>
          <t>Value of treasury bonds</t>
        </r>
      </text>
    </comment>
    <comment ref="A131" authorId="0" shapeId="0" xr:uid="{385EDFE0-3304-4919-A0DA-484C247847A4}">
      <text>
        <r>
          <rPr>
            <sz val="9"/>
            <color indexed="81"/>
            <rFont val="Tahoma"/>
            <family val="2"/>
          </rPr>
          <t>Total Cash Balance including Future PNL</t>
        </r>
      </text>
    </comment>
    <comment ref="A132" authorId="0" shapeId="0" xr:uid="{A48A32F0-7799-487A-8E46-CD3258F90E04}">
      <text>
        <r>
          <rPr>
            <sz val="9"/>
            <color indexed="81"/>
            <rFont val="Tahoma"/>
            <family val="2"/>
          </rPr>
          <t>Total cash value of stock, commodities and securities</t>
        </r>
      </text>
    </comment>
    <comment ref="A133" authorId="0" shapeId="0" xr:uid="{024742C7-20F4-4116-A770-8B095EF18B22}">
      <text>
        <r>
          <rPr>
            <sz val="9"/>
            <color indexed="81"/>
            <rFont val="Tahoma"/>
            <family val="2"/>
          </rPr>
          <t>CashBalance in commodity segment</t>
        </r>
      </text>
    </comment>
    <comment ref="A134" authorId="0" shapeId="0" xr:uid="{5DAAA445-AC51-4804-B36F-B6E9070CD613}">
      <text>
        <r>
          <rPr>
            <sz val="9"/>
            <color indexed="81"/>
            <rFont val="Tahoma"/>
            <family val="2"/>
          </rPr>
          <t>CashBalance in security segment</t>
        </r>
      </text>
    </comment>
    <comment ref="A137" authorId="0" shapeId="0" xr:uid="{6EEF749B-6623-46B7-8C8F-702091999C92}">
      <text>
        <r>
          <rPr>
            <sz val="9"/>
            <color indexed="81"/>
            <rFont val="Tahoma"/>
            <family val="2"/>
          </rPr>
          <t>Account Type</t>
        </r>
      </text>
    </comment>
    <comment ref="A138" authorId="0" shapeId="0" xr:uid="{DB7BF5AB-F8AF-4A40-B576-98E9C4BBA216}">
      <text>
        <r>
          <rPr>
            <sz val="9"/>
            <color indexed="81"/>
            <rFont val="Tahoma"/>
            <family val="2"/>
          </rPr>
          <t>The difference between the current market value of your open positions and the average cost, or Value - Average Cost</t>
        </r>
      </text>
    </comment>
    <comment ref="A139" authorId="0" shapeId="0" xr:uid="{44F03986-758E-4DF7-9828-0897D418751E}">
      <text>
        <r>
          <rPr>
            <sz val="9"/>
            <color indexed="81"/>
            <rFont val="Tahoma"/>
            <family val="2"/>
          </rPr>
          <t>Value of warrants</t>
        </r>
      </text>
    </comment>
    <comment ref="A140" authorId="0" shapeId="0" xr:uid="{062D57FC-AC20-447A-8375-30330A3192CB}">
      <text>
        <r>
          <rPr>
            <sz val="9"/>
            <color indexed="81"/>
            <rFont val="Tahoma"/>
            <family val="2"/>
          </rPr>
          <t>To check projected margin requirements under Portfolio Margin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81B1564C-B11B-4C82-A542-F24AB61C39F4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FC4F3BF-3DA0-4BCF-B85E-37682C58458C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B7D85D6D-32F9-486F-96BC-723AF6F1C81C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E5BEFBA8-F6DD-4BC7-B94C-A7B35F8DE74E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  <comment ref="A7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an expiration to select it (sets A5). Blank A5 = the first listed expiration.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B24DB3E-472F-4B05-B633-6CB7BFDDED5B}">
      <text>
        <r>
          <rPr>
            <sz val="9"/>
            <color indexed="81"/>
            <rFont val="Tahoma"/>
            <family val="2"/>
          </rPr>
          <t>Follows Status!A2. Type over this cell to give this sheet its own connection.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<sst xmlns="http://schemas.openxmlformats.org/spreadsheetml/2006/main" count="757" uniqueCount="713">
  <si>
    <t>Symbol</t>
  </si>
  <si>
    <t>SERVER_PATH</t>
  </si>
  <si>
    <t>VERSION</t>
  </si>
  <si>
    <t>BUILD_TIME</t>
  </si>
  <si>
    <t>ASSEMBLY_NAME</t>
  </si>
  <si>
    <t>STATUS</t>
  </si>
  <si>
    <t>ActiveTopicCount</t>
  </si>
  <si>
    <t>IsConnected</t>
  </si>
  <si>
    <t>LastUpdateUtc</t>
  </si>
  <si>
    <t>ServerHeartbeatUtc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</si>
  <si>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</si>
  <si>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</si>
  <si>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</si>
  <si>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</si>
  <si>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</si>
  <si>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</si>
  <si>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</si>
  <si>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</si>
  <si>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</si>
  <si>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</si>
  <si>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</si>
  <si>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</si>
  <si>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</si>
  <si>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</si>
  <si>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</si>
  <si>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</si>
  <si>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</si>
  <si>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</si>
  <si>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</si>
  <si>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</si>
  <si>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</si>
  <si>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</si>
  <si>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</si>
  <si>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</si>
  <si>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</si>
  <si>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</si>
  <si>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</si>
  <si>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</si>
  <si>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</si>
  <si>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</si>
  <si>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</si>
  <si>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</si>
  <si>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</si>
  <si>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</si>
  <si>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</si>
  <si>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</si>
  <si>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</si>
  <si>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</si>
  <si>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</si>
  <si>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</si>
  <si>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</si>
  <si>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</si>
  <si>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</si>
  <si>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</si>
  <si>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</si>
  <si>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</si>
  <si>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</si>
  <si>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</si>
  <si>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</si>
  <si>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</si>
  <si>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</si>
  <si>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</si>
  <si>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</si>
  <si>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</si>
  <si>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</si>
  <si>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</si>
  <si>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</si>
  <si>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</si>
  <si>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</si>
  <si>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</si>
  <si>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</si>
  <si>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</si>
  <si>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</si>
  <si>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</si>
  <si>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</si>
  <si>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</si>
  <si>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</si>
  <si>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</si>
  <si>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</si>
  <si>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</si>
  <si>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</si>
  <si>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</si>
  <si>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</si>
  <si>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</si>
  <si>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</si>
  <si>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</si>
  <si>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</si>
  <si>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</si>
  <si>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</si>
  <si>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</si>
  <si>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</si>
  <si>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</si>
  <si>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</si>
  <si>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</si>
  <si>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</si>
  <si>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</si>
  <si>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</si>
  <si>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</si>
  <si>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</si>
  <si>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</si>
  <si>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</si>
  <si>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</si>
  <si>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</si>
  <si>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</si>
  <si>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</si>
  <si>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</si>
  <si>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</si>
  <si>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</si>
  <si>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</si>
  <si>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</si>
  <si>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</si>
  <si>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</si>
  <si>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</si>
  <si>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</si>
  <si>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</si>
  <si>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</si>
  <si>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</si>
  <si>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</si>
  <si>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</si>
  <si>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</si>
  <si>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</si>
  <si>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</si>
  <si>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</si>
  <si>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</si>
  <si>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</si>
  <si>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</si>
  <si>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</si>
  <si>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</si>
  <si>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</si>
  <si>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</si>
  <si>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</si>
  <si>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</si>
  <si>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</si>
  <si>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</si>
  <si>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</si>
  <si>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</si>
  <si>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</si>
  <si>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</si>
  <si>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</si>
  <si>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</si>
  <si>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</si>
  <si>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</si>
  <si>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</si>
  <si>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</si>
  <si>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</si>
  <si>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</si>
  <si>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</si>
  <si>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</si>
  <si>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</si>
  <si>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 xml:space="preserve"> Tick ID </t>
  </si>
  <si>
    <t xml:space="preserve"> IB Name </t>
  </si>
  <si>
    <t xml:space="preserve"> RTD Field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</si>
  <si>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</si>
  <si>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</si>
  <si>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</si>
  <si>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</si>
  <si>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</si>
  <si>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</si>
  <si>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</si>
  <si>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</si>
  <si>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</si>
  <si>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</si>
  <si>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</si>
  <si>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</si>
  <si>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</si>
  <si>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</si>
  <si>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</si>
  <si>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</si>
  <si>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</si>
  <si>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</si>
  <si>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</si>
  <si>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</si>
  <si>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</si>
  <si>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</si>
  <si>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</si>
  <si>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DELAYED_ASK </t>
  </si>
  <si>
    <t xml:space="preserve"> DELAYED_LAST </t>
  </si>
  <si>
    <t xml:space="preserve"> DELAYED_BID_SIZE </t>
  </si>
  <si>
    <t xml:space="preserve"> DELAYED_ASK_SIZE </t>
  </si>
  <si>
    <t xml:space="preserve"> DELAYED_LAST_SIZE </t>
  </si>
  <si>
    <t xml:space="preserve"> DELAYED_HIGH </t>
  </si>
  <si>
    <t xml:space="preserve"> DELAYED_LOW </t>
  </si>
  <si>
    <t xml:space="preserve"> DELAYED_VOLUME </t>
  </si>
  <si>
    <t xml:space="preserve"> DELAYED_CLOSE </t>
  </si>
  <si>
    <t xml:space="preserve"> DELAYED_OPEN </t>
  </si>
  <si>
    <t xml:space="preserve"> DELAYED_LAST_TIMESTAMP </t>
  </si>
  <si>
    <t xml:space="preserve"> DELAYED_HALTED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</si>
  <si>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</si>
  <si>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</si>
  <si>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</si>
  <si>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</si>
  <si>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</si>
  <si>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</si>
  <si>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Timestamp of last trade </t>
  </si>
  <si>
    <t xml:space="preserve"> HALTED </t>
  </si>
  <si>
    <t xml:space="preserve"> Trading halt indicator (0=not halted)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</si>
  <si>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</si>
  <si>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</si>
  <si>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</si>
  <si>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</si>
  <si>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</si>
  <si>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</si>
  <si>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</si>
  <si>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</si>
  <si>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</si>
  <si>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</si>
  <si>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</si>
  <si>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</si>
  <si>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</si>
  <si>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</si>
  <si>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</si>
  <si>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OPTION_PUT_OPEN_INTEREST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</si>
  <si>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</si>
  <si>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</si>
  <si>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</si>
  <si>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</si>
  <si>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</si>
  <si>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OPTION_HISTORICAL_VOL </t>
  </si>
  <si>
    <t xml:space="preserve"> OPTION_IMPLIED_VOL </t>
  </si>
  <si>
    <t xml:space="preserve"> RT_HISTORICAL_VOL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</si>
  <si>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</si>
  <si>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</si>
  <si>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</si>
  <si>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</si>
  <si>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</si>
  <si>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</si>
  <si>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</si>
  <si>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</si>
  <si>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</si>
  <si>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</si>
  <si>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</si>
  <si>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</si>
  <si>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</si>
  <si>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CREDITMAN_MARK_PRICE </t>
  </si>
  <si>
    <t xml:space="preserve"> CREDITMAN_SLOW_MARK_PRICE </t>
  </si>
  <si>
    <t xml:space="preserve"> TRADE_COUNT </t>
  </si>
  <si>
    <t xml:space="preserve"> TRADE_RATE </t>
  </si>
  <si>
    <t xml:space="preserve"> VOLUME_RATE </t>
  </si>
  <si>
    <t xml:space="preserve"> LAST_RTH_TRADE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</si>
  <si>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</si>
  <si>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</si>
  <si>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</si>
  <si>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</si>
  <si>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</si>
  <si>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</si>
  <si>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</si>
  <si>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FUTURES_OPEN_INTEREST </t>
  </si>
  <si>
    <t xml:space="preserve"> ETF_NAV_LAST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</si>
  <si>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</si>
  <si>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</si>
  <si>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</si>
  <si>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</si>
  <si>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IB_DIVIDENDS </t>
  </si>
  <si>
    <t xml:space="preserve"> BOND_FACTOR_MULTIPLIER </t>
  </si>
  <si>
    <t xml:space="preserve"> LAST if available, else CLOSE </t>
  </si>
  <si>
    <t>Exchange</t>
  </si>
  <si>
    <t>MarketDataType</t>
  </si>
  <si>
    <t>LastOrClose</t>
  </si>
  <si>
    <t>MarketPrice</t>
  </si>
  <si>
    <t xml:space="preserve"> Actual MarketDataType supplied</t>
  </si>
  <si>
    <t>OrderDataState</t>
  </si>
  <si>
    <t>TIF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</si>
  <si>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</si>
  <si>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</si>
  <si>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</si>
  <si>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</si>
  <si>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</si>
  <si>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</si>
  <si>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</si>
  <si>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</si>
  <si>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</si>
  <si>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</si>
  <si>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</si>
  <si>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</si>
  <si>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</si>
  <si>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</si>
  <si>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</si>
  <si>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</si>
  <si>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</si>
  <si>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</si>
  <si>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</si>
  <si>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</si>
  <si>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</si>
  <si>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</si>
  <si>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</si>
  <si>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</si>
  <si>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</si>
  <si>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</si>
  <si>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</si>
  <si>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</si>
  <si>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</si>
  <si>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</si>
  <si>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</si>
  <si>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</si>
  <si>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SHORTABLE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</si>
  <si>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</si>
  <si>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</si>
  <si>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</si>
  <si>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</si>
  <si>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</si>
  <si>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</si>
  <si>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</si>
  <si>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</si>
  <si>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</si>
  <si>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</si>
  <si>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</si>
  <si>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</si>
  <si>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</si>
  <si>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</si>
  <si>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</si>
  <si>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</si>
  <si>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</si>
  <si>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</si>
  <si>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</si>
  <si>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</si>
  <si>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</si>
  <si>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</si>
  <si>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</si>
  <si>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</si>
  <si>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</si>
  <si>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</si>
  <si>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</si>
  <si>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</si>
  <si>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</si>
  <si>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</si>
  <si>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</si>
  <si>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</si>
  <si>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ESTIMATEDIPOMIDPOINT</t>
  </si>
  <si>
    <t>FINALIPOLAST</t>
  </si>
  <si>
    <t>AlgoStrategy</t>
  </si>
  <si>
    <t>AlgoParams</t>
  </si>
  <si>
    <t>Hidden</t>
  </si>
  <si>
    <t>OutsideRTH</t>
  </si>
  <si>
    <t>TrailingPercent</t>
  </si>
  <si>
    <t xml:space="preserve"> The account ID number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</si>
  <si>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</si>
  <si>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</si>
  <si>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</si>
  <si>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</si>
  <si>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</si>
  <si>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</si>
  <si>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</si>
  <si>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</si>
  <si>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</si>
  <si>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</si>
  <si>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</si>
  <si>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</si>
  <si>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</si>
  <si>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</si>
  <si>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</si>
  <si>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</si>
  <si>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</si>
  <si>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</si>
  <si>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</si>
  <si>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</si>
  <si>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</si>
  <si>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</si>
  <si>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</si>
  <si>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</si>
  <si>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</si>
  <si>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</si>
  <si>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</si>
  <si>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</si>
  <si>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</si>
  <si>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</si>
  <si>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</si>
  <si>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</si>
  <si>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</si>
  <si>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</si>
  <si>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</si>
  <si>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</si>
  <si>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</si>
  <si>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</si>
  <si>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</si>
  <si>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</si>
  <si>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</si>
  <si>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</si>
  <si>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</si>
  <si>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</si>
  <si>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</si>
  <si>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</si>
  <si>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</si>
  <si>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</si>
  <si>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</si>
  <si>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</si>
  <si>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</si>
  <si>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</si>
  <si>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</si>
  <si>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</si>
  <si>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</si>
  <si>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</si>
  <si>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</si>
  <si>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</si>
  <si>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</si>
  <si>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</si>
  <si>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</si>
  <si>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</si>
  <si>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</si>
  <si>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</si>
  <si>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</si>
  <si>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</si>
  <si>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</si>
  <si>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</si>
  <si>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</si>
  <si>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</si>
  <si>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</si>
  <si>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</si>
  <si>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</si>
  <si>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</si>
  <si>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</si>
  <si>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</si>
  <si>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</si>
  <si>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</si>
  <si>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</si>
  <si>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</si>
  <si>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</si>
  <si>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</si>
  <si>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</si>
  <si>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</si>
  <si>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</si>
  <si>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</si>
  <si>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</si>
  <si>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</si>
  <si>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</si>
  <si>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</si>
  <si>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</si>
  <si>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</si>
  <si>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</si>
  <si>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</si>
  <si>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</si>
  <si>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</si>
  <si>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</si>
  <si>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</si>
  <si>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</si>
  <si>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</si>
  <si>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</si>
  <si>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</si>
  <si>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</si>
  <si>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</si>
  <si>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</si>
  <si>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</si>
  <si>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</si>
  <si>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</si>
  <si>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</si>
  <si>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</si>
  <si>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BUY</t>
  </si>
  <si>
    <t>DailyPNL</t>
  </si>
  <si>
    <t xml:space="preserve"> Time (Unix Timestamp) when look-ahead values take effect</t>
  </si>
  <si>
    <t>Delta</t>
  </si>
  <si>
    <t>IV</t>
  </si>
  <si>
    <t>Strike</t>
  </si>
  <si>
    <t>RTD Throttle (ms)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</si>
  <si>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</si>
  <si>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</si>
  <si>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</si>
  <si>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</si>
  <si>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</si>
  <si>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</si>
  <si>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</si>
  <si>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</si>
  <si>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UPDATE_AVAILABLE</t>
  </si>
  <si>
    <t>UPDATE_LATEST_VERSION</t>
  </si>
  <si>
    <t>UPDATE_MESSAGE</t>
  </si>
  <si>
    <t>UPDATE_CRITICAL</t>
  </si>
  <si>
    <t>PermID</t>
  </si>
  <si>
    <t xml:space="preserve"> MID if available →  LAST → CLOSE</t>
  </si>
  <si>
    <t>Notes</t>
  </si>
  <si>
    <t>Ticker</t>
  </si>
  <si>
    <t>AAPL</t>
  </si>
  <si>
    <t>Bare ticker defaults to STK / SMART / USD.</t>
  </si>
  <si>
    <t>SYMBOL@EXCH[/PRIMEXCH]/SECTYPE[/EXP][/RIGHT][/STRIKE][/CURRENCY]</t>
  </si>
  <si>
    <t>Compact future</t>
  </si>
  <si>
    <t>Futures take the contract month YYYYMM.</t>
  </si>
  <si>
    <t>Compact option</t>
  </si>
  <si>
    <t>Segments after the security type are read by shape, so any of them can be omitted.</t>
  </si>
  <si>
    <t>SYMBOL|SECTYPE|EXPIRY|RIGHT|STRIKE. No exchange or currency segment.</t>
  </si>
  <si>
    <t>FX pair</t>
  </si>
  <si>
    <t>EUR.USD/CASH</t>
  </si>
  <si>
    <t>BASE.QUOTE/CASH. Routes to IDEALPRO.</t>
  </si>
  <si>
    <t>ConID</t>
  </si>
  <si>
    <t>conid=265598</t>
  </si>
  <si>
    <t>Required</t>
  </si>
  <si>
    <t>Required: whole number &gt; 0</t>
  </si>
  <si>
    <t>LMT</t>
  </si>
  <si>
    <t>YYYYMMDD [HH:MM:SS [TZ]]</t>
  </si>
  <si>
    <t>Iceberg display size, whole number &gt; 0</t>
  </si>
  <si>
    <t>Whole number &gt; 0</t>
  </si>
  <si>
    <t>OPT, FOP, FUT only. YYYYMM or YYYYMMDD</t>
  </si>
  <si>
    <t>OPT and FOP only</t>
  </si>
  <si>
    <t>Contract multiplier</t>
  </si>
  <si>
    <t>Primary listing exchange</t>
  </si>
  <si>
    <t>Rule exercised</t>
  </si>
  <si>
    <t>Formula (text)</t>
  </si>
  <si>
    <t>What breaking the rule returns</t>
  </si>
  <si>
    <t>MKT - no price keys</t>
  </si>
  <si>
    <t>Algo</t>
  </si>
  <si>
    <t xml:space="preserve"> Historical volatility</t>
  </si>
  <si>
    <t xml:space="preserve"> Implied volatility</t>
  </si>
  <si>
    <t xml:space="preserve"> Index future premium</t>
  </si>
  <si>
    <t xml:space="preserve"> P&amp;L mark price</t>
  </si>
  <si>
    <t xml:space="preserve"> Trade count</t>
  </si>
  <si>
    <t xml:space="preserve"> Trades per minute</t>
  </si>
  <si>
    <t xml:space="preserve"> Volume per minute</t>
  </si>
  <si>
    <t xml:space="preserve"> Last regular hours trade</t>
  </si>
  <si>
    <t xml:space="preserve"> Real-time historical vol</t>
  </si>
  <si>
    <t xml:space="preserve"> Dividend info</t>
  </si>
  <si>
    <t xml:space="preserve"> Bond factor</t>
  </si>
  <si>
    <t xml:space="preserve"> Credit mark price</t>
  </si>
  <si>
    <t xml:space="preserve"> Slow credit mark</t>
  </si>
  <si>
    <t xml:space="preserve"> Futures OI</t>
  </si>
  <si>
    <t xml:space="preserve"> Delayed LASTTIME</t>
  </si>
  <si>
    <t xml:space="preserve"> HALTED</t>
  </si>
  <si>
    <t xml:space="preserve"> ETF NAV last</t>
  </si>
  <si>
    <t xml:space="preserve"> Delayed BID</t>
  </si>
  <si>
    <t xml:space="preserve"> Delayed ASK</t>
  </si>
  <si>
    <t xml:space="preserve"> Delayed LAST</t>
  </si>
  <si>
    <t xml:space="preserve"> Delayed BIDSIZE</t>
  </si>
  <si>
    <t xml:space="preserve"> Delayed ASKSIZE</t>
  </si>
  <si>
    <t xml:space="preserve"> Delayed LASTSIZE</t>
  </si>
  <si>
    <t xml:space="preserve"> Delayed HIGH</t>
  </si>
  <si>
    <t xml:space="preserve"> Delayed LOW</t>
  </si>
  <si>
    <t xml:space="preserve"> Delayed VOLUME</t>
  </si>
  <si>
    <t xml:space="preserve"> Delayed CLOSE</t>
  </si>
  <si>
    <t xml:space="preserve"> Delayed OPEN</t>
  </si>
  <si>
    <t>TRAIL by percent</t>
  </si>
  <si>
    <t>TRAIL by amount</t>
  </si>
  <si>
    <t>GTD - TIF and GoodTillDate required</t>
  </si>
  <si>
    <t>Park - a ticket only visible in your TWS</t>
  </si>
  <si>
    <t>Blank = SMART</t>
  </si>
  <si>
    <t>Exchange local symbol. Case-sensitive.</t>
  </si>
  <si>
    <t>Trading class. Case-sensitive.</t>
  </si>
  <si>
    <t>TRAIL types only; value must be in range (0, 100)</t>
  </si>
  <si>
    <t>Side</t>
  </si>
  <si>
    <t>Shares</t>
  </si>
  <si>
    <t>Type</t>
  </si>
  <si>
    <t>Limit</t>
  </si>
  <si>
    <t>Stop</t>
  </si>
  <si>
    <t>GoodTillDate</t>
  </si>
  <si>
    <t>GoodAfterTime</t>
  </si>
  <si>
    <t>Display</t>
  </si>
  <si>
    <t>AllOrNone</t>
  </si>
  <si>
    <t>MinQty</t>
  </si>
  <si>
    <t>OCAgroup</t>
  </si>
  <si>
    <t>OCAtype</t>
  </si>
  <si>
    <t>Park</t>
  </si>
  <si>
    <t>Account</t>
  </si>
  <si>
    <t>Right</t>
  </si>
  <si>
    <t>TC</t>
  </si>
  <si>
    <t>One-cancels-all group name. Requires OCAtype.</t>
  </si>
  <si>
    <t>1, 2 or 3. Requires OCAgroup.</t>
  </si>
  <si>
    <t>FAgroup</t>
  </si>
  <si>
    <t>OCA leg 2 - same OCAgroup, other leg</t>
  </si>
  <si>
    <t>ConID - unique contract identifier</t>
  </si>
  <si>
    <t>IBKR contract ID identifies exactly one contract. This one is AAPL.</t>
  </si>
  <si>
    <t>SecType</t>
  </si>
  <si>
    <t>Expiry</t>
  </si>
  <si>
    <t>Multiplier</t>
  </si>
  <si>
    <t>Local</t>
  </si>
  <si>
    <t>Primary</t>
  </si>
  <si>
    <t>LMT - Limit required</t>
  </si>
  <si>
    <t>STP - Stop required</t>
  </si>
  <si>
    <t>Option - requires expiry, strike, right</t>
  </si>
  <si>
    <t>Future - requires expiry</t>
  </si>
  <si>
    <t>Omit any of the three: StageOrder sec=OPT requires exp=, strike=, and right= (or loc=LOCALSYMBOL).</t>
  </si>
  <si>
    <t>Either without the other: StageOrder GoodTillDate requires TIF=GTD. / StageOrder TIF=GTD requires GTD=YYYYMMDD [HH:MM:SS [TZ]].</t>
  </si>
  <si>
    <t>Either without the other: StageOrder OCAgroup and OCAtype are required together.</t>
  </si>
  <si>
    <t>Omit either: StageOrder for STP LMT requires {Limit &gt; 0, Stop &gt; 0}.</t>
  </si>
  <si>
    <t>Omit Stop: StageOrder for STP requires Stop &gt; 0.</t>
  </si>
  <si>
    <t>Omit Limit: StageOrder for LMT requires Limit &gt; 0.</t>
  </si>
  <si>
    <t>Omit Type: StageOrder requires Type (e.g., LMT, MKT).</t>
  </si>
  <si>
    <t>Supply both or neither: StageOrder for TRAIL requires exactly one of Stop or TrailingPercent.</t>
  </si>
  <si>
    <t>Add Stop to an LMT order: StageOrder Stop is only valid for STP, STP LMT, TRAIL, TRAIL LIMIT types.</t>
  </si>
  <si>
    <t>Omit Expiry: StageOrder sec=FUT requires exp= (or loc=LOCALSYMBOL).</t>
  </si>
  <si>
    <t>Add Sym: StageOrder conID identifies the contract by itself - do not also supply 'sym'. Only Exchange may accompany conID.</t>
  </si>
  <si>
    <t>Ensure expiration dates are valid!</t>
  </si>
  <si>
    <t xml:space="preserve"> Call option Open Interest</t>
  </si>
  <si>
    <t xml:space="preserve"> Put option Open Interest</t>
  </si>
  <si>
    <t>Staged Counter:</t>
  </si>
  <si>
    <t>Custom connection string</t>
  </si>
  <si>
    <t>RTD Server Name</t>
  </si>
  <si>
    <t>RTD($A$1,,A10,B10,$A$2)</t>
  </si>
  <si>
    <t>RTD($A$1,,A11,B11,$A$2)</t>
  </si>
  <si>
    <t>RTD($A$1,,A12,B12,$A$2)</t>
  </si>
  <si>
    <t>Account number, if multiple available</t>
  </si>
  <si>
    <t>Iceberg, after-hours, good-after time</t>
  </si>
  <si>
    <t>(OCAtype: 1=cancel remaining with block, 2=reduce remaining with block, 3=reduce remaining without block).</t>
  </si>
  <si>
    <t>RTD Server Status &amp; Metadata</t>
  </si>
  <si>
    <t>MarketDataMessage</t>
  </si>
  <si>
    <t>RTD($A$1,,A5,B5,$A$2)</t>
  </si>
  <si>
    <t>utctolocal(RTD($A$1,,A7,B7,$A$2))</t>
  </si>
  <si>
    <t>RTD($A$1,,A8,B8,$A$2)</t>
  </si>
  <si>
    <t>RTD($A$1,,A9,B9,$A$2)</t>
  </si>
  <si>
    <t>RTD($A$1,,A13,B13,$A$2)</t>
  </si>
  <si>
    <t>RTD($A$1,,B14,$A$2)</t>
  </si>
  <si>
    <t>RTD($A$1,,B15,$A$2)</t>
  </si>
  <si>
    <t>RTD($A$1,,B16,$A$2)</t>
  </si>
  <si>
    <t>RTD($A$1,,B17,$A$2)</t>
  </si>
  <si>
    <t>RTD($A$1,,B18,$A$2)</t>
  </si>
  <si>
    <t>RTD($A$1,,B19,$A$2)</t>
  </si>
  <si>
    <t>RTD($A$1,,B20,$A$2)</t>
  </si>
  <si>
    <t>RTD($A$1,,B21,$A$2)</t>
  </si>
  <si>
    <t>RTD($A$1,,B22,$A$2)</t>
  </si>
  <si>
    <t>RTD($A$1,,B23,$A$2)</t>
  </si>
  <si>
    <t>RTD($A$1,,B24,$A$2)</t>
  </si>
  <si>
    <t>RTD($A$1,,B25,$A$2)</t>
  </si>
  <si>
    <t>RTD($A$1,,B26,$A$2)</t>
  </si>
  <si>
    <t>RTD($A$1,,B27,$A$2)</t>
  </si>
  <si>
    <t>TEXTSPLIT(RTD(A1,,"status",A4,A2),",")</t>
  </si>
  <si>
    <t>IFERROR(RTD($A$1,,"account",B4#,A5#,$A$2),"")</t>
  </si>
  <si>
    <t>Account Data</t>
  </si>
  <si>
    <t>Custom connection</t>
  </si>
  <si>
    <t>Description</t>
  </si>
  <si>
    <t>Account Field</t>
  </si>
  <si>
    <t>LastPositionListChangeUTC</t>
  </si>
  <si>
    <t>LastPositionUpdateUTC</t>
  </si>
  <si>
    <t>Accounts to report (empty = ALL)</t>
  </si>
  <si>
    <t>RTD(A1,,"status","AccountsCsv",$A$2)</t>
  </si>
  <si>
    <t>TEXTSPLIT(RTD($A$1, , "positions", A3, "ConIdCsv", $A$2), , ";")</t>
  </si>
  <si>
    <t>RTD($A$1,,"status",K1,$A$2)</t>
  </si>
  <si>
    <t>utctolocal(RTD($A$1,,"status",K2,$A$2))</t>
  </si>
  <si>
    <t>utctolocal(RTD($A$1,,"status",K3,$A$2))</t>
  </si>
  <si>
    <t>Accounts Available:</t>
  </si>
  <si>
    <t>ContractID</t>
  </si>
  <si>
    <t>Only show open orders</t>
  </si>
  <si>
    <t>LastOrderListChangeUTC</t>
  </si>
  <si>
    <t>LastOrderUpdateUTC</t>
  </si>
  <si>
    <t>TEXTSPLIT(RTD($A$1,, "orders", A3, IF(OR(A4=TRUE,TRIM(A4)="TRUE"), "OpenListCsv", "ListCsv"), $A$2),, ",")</t>
  </si>
  <si>
    <t>utctolocal(RTD($A$1,, "order", $A6#, B5#, $A$2))</t>
  </si>
  <si>
    <t>IFNA(RTD($A$1,, "order", $A6#, D5#, $A$2),"")</t>
  </si>
  <si>
    <t>Market Data Inspector</t>
  </si>
  <si>
    <t>Contract:</t>
  </si>
  <si>
    <t>LastTime</t>
  </si>
  <si>
    <t>Contract Specification Examples</t>
  </si>
  <si>
    <t>Pipe-delimited</t>
  </si>
  <si>
    <t>Compact+PrimaryExch</t>
  </si>
  <si>
    <t>unixtolocal(RTD($A$1,,$B5,$A$6,$A$2))</t>
  </si>
  <si>
    <t>IFERROR(RTD($A$1,,B$5,$A7#,$A$2),"")</t>
  </si>
  <si>
    <t>RTD($A$1,, $G5, H$4, $A$2)</t>
  </si>
  <si>
    <t>RTD($A$1,, $G6, H$4, $A$2)</t>
  </si>
  <si>
    <t>RTD($A$1,, $G7, H$4, $A$2)</t>
  </si>
  <si>
    <t>RTD($A$1,, $G8, H$4, $A$2)</t>
  </si>
  <si>
    <t>RTD($A$1,, $G9, H$4, $A$2)</t>
  </si>
  <si>
    <t>RTD($A$1,, $G10, H$4, $A$2)</t>
  </si>
  <si>
    <t>RTD($A$1,, $G11, H$4, $A$2)</t>
  </si>
  <si>
    <t>Expiration</t>
  </si>
  <si>
    <t>Contract</t>
  </si>
  <si>
    <t># Strikes</t>
  </si>
  <si>
    <t>30</t>
  </si>
  <si>
    <t>Strikes &gt;&gt;</t>
  </si>
  <si>
    <t>&lt;&lt; Strike Index</t>
  </si>
  <si>
    <t>Expirations</t>
  </si>
  <si>
    <t>TEXTSPLIT(RTD("tws.rtd",,A4,"OptionExpirationsCSV",$A$2),,",")</t>
  </si>
  <si>
    <t>NUMBERVALUE(TEXTSPLIT(RTD("tws.rtd",,A4,"OptionStrikesCSV",$A$2),,","),".",",")</t>
  </si>
  <si>
    <t>RTD("tws.rtd",,A4,"MarketPrice",$A$2)</t>
  </si>
  <si>
    <t>LET(n,ROWS(U1#),w,MIN(--A3,n),INDEX(U1#,SEQUENCE(w,1,MAX(1,MIN(V1-A3/2,n-w+1)))))</t>
  </si>
  <si>
    <r>
      <t xml:space="preserve">STP LMT - Stop </t>
    </r>
    <r>
      <rPr>
        <i/>
        <sz val="10"/>
        <rFont val="Segoe UI"/>
        <family val="2"/>
      </rPr>
      <t>and</t>
    </r>
    <r>
      <rPr>
        <sz val="10"/>
        <rFont val="Segoe UI"/>
        <family val="2"/>
      </rPr>
      <t xml:space="preserve"> Limit required</t>
    </r>
  </si>
  <si>
    <r>
      <t xml:space="preserve">OCA leg 1 - OCAgroup </t>
    </r>
    <r>
      <rPr>
        <i/>
        <sz val="10"/>
        <rFont val="Segoe UI"/>
        <family val="2"/>
      </rPr>
      <t xml:space="preserve">and </t>
    </r>
    <r>
      <rPr>
        <sz val="10"/>
        <rFont val="Segoe UI"/>
        <family val="2"/>
      </rPr>
      <t>OCAtype required</t>
    </r>
  </si>
  <si>
    <t>Staged Formulas</t>
  </si>
  <si>
    <t>Order Ticket</t>
  </si>
  <si>
    <t>2. Staged Orders appear in TWS but will not go live until you click "Submit" or "Transmit" in TWS.</t>
  </si>
  <si>
    <r>
      <t xml:space="preserve">1.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formulas are one-way: </t>
    </r>
    <r>
      <rPr>
        <b/>
        <i/>
        <sz val="10"/>
        <rFont val="Segoe UI"/>
        <family val="2"/>
      </rPr>
      <t>each edit stages a new ticket in TWS as soon as the formula is entered.</t>
    </r>
  </si>
  <si>
    <r>
      <t xml:space="preserve">Required: </t>
    </r>
    <r>
      <rPr>
        <sz val="9.5"/>
        <color theme="1" tint="0.34998626667073579"/>
        <rFont val="Segoe UI"/>
        <family val="2"/>
      </rPr>
      <t xml:space="preserve">BUY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SELL</t>
    </r>
  </si>
  <si>
    <r>
      <t xml:space="preserve">Required: </t>
    </r>
    <r>
      <rPr>
        <sz val="9.5"/>
        <color theme="1" tint="0.34998626667073579"/>
        <rFont val="Segoe UI"/>
        <family val="2"/>
      </rPr>
      <t>MKT, LMT, STP,</t>
    </r>
    <r>
      <rPr>
        <i/>
        <sz val="9.5"/>
        <color theme="1" tint="0.34998626667073579"/>
        <rFont val="Segoe UI"/>
        <family val="2"/>
      </rPr>
      <t xml:space="preserve"> etc.</t>
    </r>
  </si>
  <si>
    <r>
      <t xml:space="preserve">Required for </t>
    </r>
    <r>
      <rPr>
        <sz val="9.5"/>
        <color theme="1" tint="0.34998626667073579"/>
        <rFont val="Segoe UI"/>
        <family val="2"/>
      </rPr>
      <t xml:space="preserve">LMT </t>
    </r>
    <r>
      <rPr>
        <i/>
        <sz val="9.5"/>
        <color theme="1" tint="0.34998626667073579"/>
        <rFont val="Segoe UI"/>
        <family val="2"/>
      </rPr>
      <t xml:space="preserve">and </t>
    </r>
    <r>
      <rPr>
        <sz val="9.5"/>
        <color theme="1" tint="0.34998626667073579"/>
        <rFont val="Segoe UI"/>
        <family val="2"/>
      </rPr>
      <t>STP LMT</t>
    </r>
  </si>
  <si>
    <r>
      <t xml:space="preserve">Required for </t>
    </r>
    <r>
      <rPr>
        <sz val="9.5"/>
        <color theme="1" tint="0.34998626667073579"/>
        <rFont val="Segoe UI"/>
        <family val="2"/>
      </rPr>
      <t>STP</t>
    </r>
    <r>
      <rPr>
        <i/>
        <sz val="9.5"/>
        <color theme="1" tint="0.34998626667073579"/>
        <rFont val="Segoe UI"/>
        <family val="2"/>
      </rPr>
      <t xml:space="preserve">; for </t>
    </r>
    <r>
      <rPr>
        <sz val="9.5"/>
        <color theme="1" tint="0.34998626667073579"/>
        <rFont val="Segoe UI"/>
        <family val="2"/>
      </rPr>
      <t>TRAIL</t>
    </r>
    <r>
      <rPr>
        <i/>
        <sz val="9.5"/>
        <color theme="1" tint="0.34998626667073579"/>
        <rFont val="Segoe UI"/>
        <family val="2"/>
      </rPr>
      <t xml:space="preserve">, this </t>
    </r>
    <r>
      <rPr>
        <b/>
        <i/>
        <sz val="9.5"/>
        <color theme="1" tint="0.34998626667073579"/>
        <rFont val="Segoe UI"/>
        <family val="2"/>
      </rPr>
      <t>or</t>
    </r>
    <r>
      <rPr>
        <i/>
        <sz val="9.5"/>
        <color theme="1" tint="0.34998626667073579"/>
        <rFont val="Segoe UI"/>
        <family val="2"/>
      </rPr>
      <t xml:space="preserve"> TrailingPercent</t>
    </r>
  </si>
  <si>
    <r>
      <t xml:space="preserve">Blank = </t>
    </r>
    <r>
      <rPr>
        <sz val="9.5"/>
        <color theme="1" tint="0.34998626667073579"/>
        <rFont val="Segoe UI"/>
        <family val="2"/>
      </rPr>
      <t>DAY</t>
    </r>
  </si>
  <si>
    <r>
      <t>Required if TIF=</t>
    </r>
    <r>
      <rPr>
        <sz val="9.5"/>
        <color theme="1" tint="0.34998626667073579"/>
        <rFont val="Segoe UI"/>
        <family val="2"/>
      </rPr>
      <t>GTD</t>
    </r>
    <r>
      <rPr>
        <i/>
        <sz val="9.5"/>
        <color theme="1" tint="0.34998626667073579"/>
        <rFont val="Segoe UI"/>
        <family val="2"/>
      </rPr>
      <t>. YYYYMMDD [HH:MM:SS [TZ]]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</si>
  <si>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FALSE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</si>
  <si>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>stages a ticket only visible in your TWS instance</t>
    </r>
  </si>
  <si>
    <r>
      <t>Financial-advisor allocation group (e.g., "</t>
    </r>
    <r>
      <rPr>
        <sz val="9.5"/>
        <color theme="1" tint="0.34998626667073579"/>
        <rFont val="Segoe UI"/>
        <family val="2"/>
      </rPr>
      <t>All</t>
    </r>
    <r>
      <rPr>
        <i/>
        <sz val="9.5"/>
        <color theme="1" tint="0.34998626667073579"/>
        <rFont val="Segoe UI"/>
        <family val="2"/>
      </rPr>
      <t>")</t>
    </r>
  </si>
  <si>
    <r>
      <t xml:space="preserve">Examples: </t>
    </r>
    <r>
      <rPr>
        <sz val="9.5"/>
        <color theme="1" tint="0.34998626667073579"/>
        <rFont val="Segoe UI"/>
        <family val="2"/>
      </rPr>
      <t>Adaptive, TWAP, VWAP</t>
    </r>
  </si>
  <si>
    <r>
      <t xml:space="preserve">Pipe-delimited list of </t>
    </r>
    <r>
      <rPr>
        <sz val="9.5"/>
        <color theme="1" tint="0.34998626667073579"/>
        <rFont val="Segoe UI"/>
        <family val="2"/>
      </rPr>
      <t>{tag=value}</t>
    </r>
  </si>
  <si>
    <r>
      <t xml:space="preserve">Blank = </t>
    </r>
    <r>
      <rPr>
        <sz val="9.5"/>
        <color theme="1" tint="0.34998626667073579"/>
        <rFont val="Segoe UI"/>
        <family val="2"/>
      </rPr>
      <t>STK</t>
    </r>
  </si>
  <si>
    <r>
      <t xml:space="preserve">Blank = </t>
    </r>
    <r>
      <rPr>
        <sz val="9.5"/>
        <color theme="1" tint="0.34998626667073579"/>
        <rFont val="Segoe UI"/>
        <family val="2"/>
      </rPr>
      <t>USD</t>
    </r>
  </si>
  <si>
    <r>
      <t xml:space="preserve">OPT and FOP only. </t>
    </r>
    <r>
      <rPr>
        <sz val="9.5"/>
        <color theme="1" tint="0.34998626667073579"/>
        <rFont val="Segoe UI"/>
        <family val="2"/>
      </rPr>
      <t>C</t>
    </r>
    <r>
      <rPr>
        <i/>
        <sz val="9.5"/>
        <color theme="1" tint="0.34998626667073579"/>
        <rFont val="Segoe UI"/>
        <family val="2"/>
      </rPr>
      <t xml:space="preserve"> or </t>
    </r>
    <r>
      <rPr>
        <sz val="9.5"/>
        <color theme="1" tint="0.34998626667073579"/>
        <rFont val="Segoe UI"/>
        <family val="2"/>
      </rPr>
      <t>P</t>
    </r>
  </si>
  <si>
    <t>RTD($A$1,,"StageOrder", "sym=SPY", "side=BUY", "shares=5", "type=MKT", $A$2)</t>
  </si>
  <si>
    <t>RTD($A$1,,"StageOrder", "sym=SPY", "side=BUY", "shares=5", "type=LMT", "limit=100.10", "tif=DAY", $A$2)</t>
  </si>
  <si>
    <t>RTD($A$1,,"StageOrder", "sym=SPY", "side=SELL", "shares=5", "type=STP", "stop=95.00", $A$2)</t>
  </si>
  <si>
    <t>RTD($A$1,,"StageOrder", "sym=SPY", "side=SELL", "shares=5", "type=STP LMT", "stop=95.00", "limit=94.50", $A$2)</t>
  </si>
  <si>
    <t>RTD($A$1,,"StageOrder", "sym=SPY", "side=SELL", "shares=5", "type=TRAIL", "trailingpercent=2.5", $A$2)</t>
  </si>
  <si>
    <t>RTD($A$1,,"StageOrder", "sym=SPY", "side=SELL", "shares=5", "type=TRAIL", "stop=1.50", $A$2)</t>
  </si>
  <si>
    <t>RTD($A$1,,"StageOrder", "sym=SPY", "side=BUY", "shares=5", "type=LMT", "limit=100.10", "tif=GTD", "goodtilldate=20271231 16:00:00", $A$2)</t>
  </si>
  <si>
    <t>RTD($A$1,,"StageOrder", "sym=SPY", "side=SELL", "shares=5", "type=LMT", "limit=110.00", "ocagroup=SPY-EXIT-1", "ocatype=1", $A$2)</t>
  </si>
  <si>
    <t>RTD($A$1,,"StageOrder", "sym=SPY", "side=SELL", "shares=5", "type=STP", "stop=95.00", "ocagroup=SPY-EXIT-1", "ocatype=1", $A$2)</t>
  </si>
  <si>
    <t>RTD($A$1,,"StageOrder", "sym=SPY", "side=BUY", "shares=500", "type=LMT", "limit=99.00", "display=100", "OutsideRTH=TRUE", "GAT=20271231 09:35:00", $A$2)</t>
  </si>
  <si>
    <t>RTD($A$1,,"StageOrder", "sym=SPY", "sec=OPT", "exp=20271217", "strike=680", "right=C", "side=BUY", "shares=1", "type=LMT", "limit=2.50", $A$2)</t>
  </si>
  <si>
    <t>RTD($A$1,,"StageOrder", "sym=ES", "sec=FUT", "exch=CME", "exp=202712", "cur=USD", "side=BUY", "shares=1", "type=LMT", "limit=6500.00", $A$2)</t>
  </si>
  <si>
    <t>RTD($A$1,,"StageOrder", "sym=EUR", "sec=CASH", "cur=USD", "exch=IDEALPRO", "side=BUY", "shares=25000", "type=LMT", "limit=1.0850", $A$2)</t>
  </si>
  <si>
    <t>RTD($A$1,,"StageOrder", "conid=756733", "side=BUY", "shares=5", "type=LMT", "limit=100.10", $A$2)</t>
  </si>
  <si>
    <t>RTD($A$1,,"StageOrder", "sym=SPY", "side=BUY", "shares=5", "type=LMT", "limit=100.10", "park=TRUE", $A$2)</t>
  </si>
  <si>
    <t>RTD($A$1,,"StageOrder", "sym=SPY", "side=BUY", "shares=500", "type=LMT", "limit=99.00", "algo=Adaptive", "algoparams=adaptivePriority=Normal", $A$2)</t>
  </si>
  <si>
    <t>IFERROR(RTD($A$1,,"position",$A$3,"conid="&amp;$A6#,B5#,$A$2),"")</t>
  </si>
  <si>
    <t>LastOrderPollUTC</t>
  </si>
  <si>
    <t>utctolocal(RTD($A$1,,"status",K4,$A$2))</t>
  </si>
  <si>
    <t>SERVERVERSION</t>
  </si>
  <si>
    <t>CONNECTIONKEY</t>
  </si>
  <si>
    <t>ROTATIONCOUNT</t>
  </si>
  <si>
    <t>utctolocal(RTD($A$1,,A6,B6,$A$2))</t>
  </si>
  <si>
    <t>RTD($A$1,,B28,$A$2)</t>
  </si>
  <si>
    <t>RTD($A$1,,B29,$A$2)</t>
  </si>
  <si>
    <t>RTD($A$1,,B30,$A$2)</t>
  </si>
  <si>
    <t>AMZN@SMART/NASDAQ/STK/USD</t>
  </si>
  <si>
    <t>IFNA(RTD("tws.rtd",,"sym="&amp;$A$4,"sec=OPT","strike="&amp;SUBSTITUTE($J5#&amp;"",MID(1/2,2,1),"."),"right=C","exp="&amp;IF($A$5="",--$A$7,$A$5),"ModelDelta",$A$2),"")</t>
  </si>
  <si>
    <t>IFNA(RTD("tws.rtd",,"sym="&amp;$A$4,"sec=OPT","strike="&amp;SUBSTITUTE($J5#&amp;"",MID(1/2,2,1),"."),"right=C","exp="&amp;IF($A$5="",--$A$7,$A$5),"ModelImpliedVol",$A$2),"")</t>
  </si>
  <si>
    <t>IFNA(RTD("tws.rtd",,"sym="&amp;$A$4,"sec=OPT","strike="&amp;SUBSTITUTE($J5#&amp;"",MID(1/2,2,1),"."),"right=C","exp="&amp;IF($A$5="",--$A$7,$A$5),E4#,$A$2),"")</t>
  </si>
  <si>
    <t>IFNA(RTD("tws.rtd",,"sym="&amp;$A$4,"sec=OPT","strike="&amp;SUBSTITUTE($J5#&amp;"",MID(1/2,2,1),"."),"right=P","exp="&amp;IF($A$5="",--$A$7,$A$5),K4#,$A$2),"")</t>
  </si>
  <si>
    <t>IFNA(RTD("tws.rtd",,"sym="&amp;$A$4,"sec=OPT","strike="&amp;SUBSTITUTE($J5#&amp;"",MID(1/2,2,1),"."),"right=P","exp="&amp;IF($A$5="",--$A$7,$A$5),"ModelImpliedVol",$A$2),"")</t>
  </si>
  <si>
    <t>IFNA(RTD("tws.rtd",,"sym="&amp;$A$4,"sec=OPT","strike="&amp;SUBSTITUTE($J5#&amp;"",MID(1/2,2,1),"."),"right=P","exp="&amp;IF($A$5="",--$A$7,$A$5),"ModelDelta",$A$2),"")</t>
  </si>
  <si>
    <r>
      <t xml:space="preserve">4. The </t>
    </r>
    <r>
      <rPr>
        <b/>
        <sz val="10"/>
        <rFont val="Segoe UI"/>
        <family val="2"/>
      </rPr>
      <t>Stage Order</t>
    </r>
    <r>
      <rPr>
        <sz val="10"/>
        <rFont val="Segoe UI"/>
        <family val="2"/>
      </rPr>
      <t xml:space="preserve"> button here appends "tag={StagedCounter}" from cell D3 to ensure a unique ticket with each click.</t>
    </r>
  </si>
  <si>
    <r>
      <t xml:space="preserve">5. Order status returned by a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 is best-effort only.  Use the </t>
    </r>
    <r>
      <rPr>
        <b/>
        <sz val="10"/>
        <rFont val="Segoe UI"/>
        <family val="2"/>
      </rPr>
      <t xml:space="preserve">Orders </t>
    </r>
    <r>
      <rPr>
        <sz val="10"/>
        <rFont val="Segoe UI"/>
        <family val="2"/>
      </rPr>
      <t>topic to track orders reliably.</t>
    </r>
  </si>
  <si>
    <r>
      <t>3. Identical formulas are deduplicated; to stage otherwise identical orders, add or change "tag=</t>
    </r>
    <r>
      <rPr>
        <i/>
        <sz val="10"/>
        <rFont val="Segoe UI"/>
        <family val="2"/>
      </rPr>
      <t>N</t>
    </r>
    <r>
      <rPr>
        <sz val="10"/>
        <rFont val="Segoe UI"/>
        <family val="2"/>
      </rPr>
      <t>".</t>
    </r>
  </si>
  <si>
    <r>
      <t xml:space="preserve">Examples. </t>
    </r>
    <r>
      <rPr>
        <sz val="10"/>
        <rFont val="Segoe UI"/>
        <family val="2"/>
      </rPr>
      <t>To run one, copy it into a cell and add a leading "</t>
    </r>
    <r>
      <rPr>
        <b/>
        <sz val="10"/>
        <rFont val="Segoe UI"/>
        <family val="2"/>
      </rPr>
      <t>=</t>
    </r>
    <r>
      <rPr>
        <sz val="10"/>
        <rFont val="Segoe UI"/>
        <family val="2"/>
      </rPr>
      <t>".  For European decimal system locales, replace "</t>
    </r>
    <r>
      <rPr>
        <b/>
        <sz val="10"/>
        <rFont val="Segoe UI"/>
        <family val="2"/>
      </rPr>
      <t>,</t>
    </r>
    <r>
      <rPr>
        <sz val="10"/>
        <rFont val="Segoe UI"/>
        <family val="2"/>
      </rPr>
      <t>" with "</t>
    </r>
    <r>
      <rPr>
        <b/>
        <sz val="10"/>
        <rFont val="Segoe UI"/>
        <family val="2"/>
      </rPr>
      <t>;</t>
    </r>
    <r>
      <rPr>
        <sz val="10"/>
        <rFont val="Segoe UI"/>
        <family val="2"/>
      </rPr>
      <t>" between arguments.</t>
    </r>
  </si>
  <si>
    <t xml:space="preserve"> Average Options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</si>
</sst>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&quot;$&quot;* #,##0.000_);_(&quot;$&quot;* \(#,##0.000\);_(&quot;$&quot;* &quot;-&quot;??_);_(@_)"/>
    <numFmt numFmtId="167" formatCode="_(&quot;$&quot;* #,##0_);_(&quot;$&quot;* \(#,##0\);_(&quot;$&quot;* &quot;-&quot;??_);_(@_)"/>
    <numFmt numFmtId="168" formatCode="h:mm:ss;@"/>
    <numFmt numFmtId="169" formatCode="yyyy\-mm\-dd\ h:mm:ss;@"/>
    <numFmt numFmtId="170" formatCode="yyyy\-mm\-dd;@"/>
    <numFmt numFmtId="171" formatCode="&quot;$&quot;#,##0;[Red]\-&quot;$&quot;#,##0;&quot; - &quot;"/>
    <numFmt numFmtId="172" formatCode="mmm\-dd\ h:mm:ss;@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name val="Aptos"/>
      <family val="2"/>
    </font>
    <font>
      <sz val="11"/>
      <color theme="1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ptos"/>
      <family val="2"/>
    </font>
    <font>
      <sz val="11"/>
      <color rgb="FF3F3F76"/>
      <name val="Aptos"/>
      <family val="2"/>
    </font>
    <font>
      <sz val="11"/>
      <color theme="0" tint="-0.499984740745262"/>
      <name val="Aptos"/>
      <family val="2"/>
    </font>
    <font>
      <sz val="11"/>
      <color theme="1"/>
      <name val="Aptos Narrow"/>
      <family val="2"/>
    </font>
    <font>
      <u/>
      <sz val="10"/>
      <color theme="10"/>
      <name val="Arial"/>
      <family val="2"/>
    </font>
    <font>
      <sz val="10"/>
      <name val="Segoe UI"/>
      <family val="2"/>
    </font>
    <font>
      <sz val="9"/>
      <name val="Segoe UI"/>
      <family val="2"/>
    </font>
    <font>
      <sz val="10"/>
      <name val="Consolas"/>
      <family val="3"/>
    </font>
    <font>
      <b/>
      <sz val="11"/>
      <color theme="0"/>
      <name val="Segoe UI"/>
      <family val="2"/>
    </font>
    <font>
      <i/>
      <sz val="9"/>
      <color theme="1" tint="0.499984740745262"/>
      <name val="Segoe UI"/>
      <family val="2"/>
    </font>
    <font>
      <sz val="10"/>
      <color theme="1"/>
      <name val="Segoe UI"/>
      <family val="2"/>
    </font>
    <font>
      <b/>
      <sz val="10"/>
      <name val="Segoe UI"/>
      <family val="2"/>
    </font>
    <font>
      <b/>
      <sz val="10"/>
      <color theme="1"/>
      <name val="Consolas"/>
      <family val="3"/>
    </font>
    <font>
      <i/>
      <sz val="9"/>
      <name val="Segoe UI"/>
      <family val="2"/>
    </font>
    <font>
      <sz val="10"/>
      <color theme="0"/>
      <name val="Segoe UI Semibold"/>
      <family val="2"/>
    </font>
    <font>
      <sz val="9"/>
      <color theme="1" tint="0.499984740745262"/>
      <name val="Segoe UI"/>
      <family val="2"/>
    </font>
    <font>
      <sz val="9"/>
      <name val="Arial"/>
      <family val="2"/>
    </font>
    <font>
      <sz val="9"/>
      <color theme="0"/>
      <name val="Segoe UI Semibold"/>
      <family val="2"/>
    </font>
    <font>
      <sz val="9"/>
      <color theme="0"/>
      <name val="Segoe UI"/>
      <family val="2"/>
    </font>
    <font>
      <sz val="8"/>
      <color theme="0"/>
      <name val="Segoe UI"/>
      <family val="2"/>
    </font>
    <font>
      <b/>
      <sz val="11"/>
      <color theme="1"/>
      <name val="Segoe UI"/>
      <family val="2"/>
    </font>
    <font>
      <i/>
      <sz val="10"/>
      <color rgb="FF80808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/>
      <name val="Segoe UI"/>
      <family val="2"/>
    </font>
    <font>
      <i/>
      <sz val="9.5"/>
      <color theme="1" tint="0.499984740745262"/>
      <name val="Segoe UI"/>
      <family val="2"/>
    </font>
    <font>
      <sz val="11"/>
      <color theme="0"/>
      <name val="Segoe UI"/>
      <family val="2"/>
    </font>
    <font>
      <sz val="9"/>
      <name val="Consolas"/>
      <family val="3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Aptos"/>
      <family val="2"/>
    </font>
    <font>
      <sz val="11"/>
      <color theme="1"/>
      <name val="Consolas"/>
      <family val="3"/>
    </font>
    <font>
      <b/>
      <sz val="10"/>
      <color theme="0"/>
      <name val="Segoe UI"/>
      <family val="2"/>
    </font>
    <font>
      <sz val="9"/>
      <name val="Segoe UI Semibold"/>
      <family val="2"/>
    </font>
    <font>
      <b/>
      <i/>
      <sz val="10"/>
      <name val="Segoe UI"/>
      <family val="2"/>
    </font>
    <font>
      <i/>
      <sz val="10"/>
      <name val="Segoe UI"/>
      <family val="2"/>
    </font>
    <font>
      <sz val="9"/>
      <color theme="0" tint="-0.34998626667073579"/>
      <name val="Segoe UI"/>
      <family val="2"/>
    </font>
    <font>
      <i/>
      <sz val="9"/>
      <color theme="0" tint="-0.34998626667073579"/>
      <name val="Segoe UI"/>
      <family val="2"/>
    </font>
    <font>
      <sz val="10"/>
      <color theme="0"/>
      <name val="Segoe UI"/>
      <family val="2"/>
    </font>
    <font>
      <sz val="9.5"/>
      <name val="Segoe UI"/>
      <family val="2"/>
    </font>
    <font>
      <i/>
      <sz val="9.5"/>
      <color theme="1" tint="0.34998626667073579"/>
      <name val="Segoe UI"/>
      <family val="2"/>
    </font>
    <font>
      <sz val="9.5"/>
      <color theme="1" tint="0.34998626667073579"/>
      <name val="Segoe UI"/>
      <family val="2"/>
    </font>
    <font>
      <b/>
      <i/>
      <sz val="9.5"/>
      <color theme="1" tint="0.34998626667073579"/>
      <name val="Segoe UI"/>
      <family val="2"/>
    </font>
    <font>
      <b/>
      <sz val="10"/>
      <color rgb="FF9C0006"/>
      <name val="Segoe UI"/>
      <family val="2"/>
    </font>
    <font>
      <u/>
      <sz val="10"/>
      <color rgb="FF0563C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13A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2" borderId="3" applyNumberFormat="0" applyAlignment="0" applyProtection="0"/>
    <xf numFmtId="0" fontId="2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4" borderId="3" applyNumberFormat="0" applyAlignment="0" applyProtection="0"/>
    <xf numFmtId="0" fontId="11" fillId="5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294">
    <xf numFmtId="0" fontId="0" fillId="0" borderId="0" xfId="0"/>
    <xf numFmtId="49" fontId="17" fillId="7" borderId="1" xfId="0" quotePrefix="1" applyNumberFormat="1" applyFont="1" applyFill="1" applyBorder="1" applyAlignment="1">
      <alignment horizontal="right"/>
    </xf>
    <xf numFmtId="49" fontId="18" fillId="7" borderId="1" xfId="0" quotePrefix="1" applyNumberFormat="1" applyFont="1" applyFill="1" applyBorder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8" borderId="0" xfId="0" applyFont="1" applyFill="1"/>
    <xf numFmtId="0" fontId="17" fillId="6" borderId="2" xfId="0" applyFont="1" applyFill="1" applyBorder="1"/>
    <xf numFmtId="0" fontId="21" fillId="6" borderId="13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1" fontId="17" fillId="7" borderId="1" xfId="0" quotePrefix="1" applyNumberFormat="1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left" indent="1"/>
    </xf>
    <xf numFmtId="0" fontId="17" fillId="7" borderId="0" xfId="0" applyFont="1" applyFill="1" applyAlignment="1">
      <alignment horizontal="right"/>
    </xf>
    <xf numFmtId="0" fontId="17" fillId="7" borderId="0" xfId="0" applyFont="1" applyFill="1" applyAlignment="1">
      <alignment horizontal="right" vertical="center"/>
    </xf>
    <xf numFmtId="169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indent="1"/>
    </xf>
    <xf numFmtId="0" fontId="17" fillId="7" borderId="0" xfId="0" applyFont="1" applyFill="1"/>
    <xf numFmtId="0" fontId="23" fillId="0" borderId="0" xfId="0" applyFont="1"/>
    <xf numFmtId="44" fontId="17" fillId="0" borderId="0" xfId="5" applyFont="1"/>
    <xf numFmtId="0" fontId="17" fillId="6" borderId="0" xfId="0" applyFont="1" applyFill="1" applyAlignment="1">
      <alignment horizontal="center"/>
    </xf>
    <xf numFmtId="0" fontId="22" fillId="3" borderId="2" xfId="2" applyFont="1" applyBorder="1" applyAlignment="1">
      <alignment horizontal="right" vertical="center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4" fontId="17" fillId="10" borderId="0" xfId="5" applyFont="1" applyFill="1"/>
    <xf numFmtId="0" fontId="19" fillId="0" borderId="0" xfId="0" applyFont="1"/>
    <xf numFmtId="171" fontId="19" fillId="0" borderId="0" xfId="0" applyNumberFormat="1" applyFont="1"/>
    <xf numFmtId="167" fontId="19" fillId="0" borderId="0" xfId="0" applyNumberFormat="1" applyFont="1"/>
    <xf numFmtId="9" fontId="19" fillId="0" borderId="0" xfId="4" applyFont="1" applyBorder="1"/>
    <xf numFmtId="171" fontId="19" fillId="0" borderId="0" xfId="5" applyNumberFormat="1" applyFont="1" applyBorder="1"/>
    <xf numFmtId="44" fontId="19" fillId="0" borderId="0" xfId="0" applyNumberFormat="1" applyFont="1"/>
    <xf numFmtId="0" fontId="24" fillId="3" borderId="0" xfId="2" applyFont="1" applyBorder="1" applyAlignment="1">
      <alignment vertical="center"/>
    </xf>
    <xf numFmtId="0" fontId="24" fillId="3" borderId="16" xfId="2" applyFont="1" applyBorder="1" applyAlignment="1">
      <alignment vertical="center"/>
    </xf>
    <xf numFmtId="0" fontId="19" fillId="0" borderId="16" xfId="0" applyFont="1" applyBorder="1"/>
    <xf numFmtId="171" fontId="19" fillId="0" borderId="16" xfId="0" applyNumberFormat="1" applyFont="1" applyBorder="1"/>
    <xf numFmtId="167" fontId="19" fillId="0" borderId="16" xfId="0" applyNumberFormat="1" applyFont="1" applyBorder="1"/>
    <xf numFmtId="9" fontId="19" fillId="0" borderId="16" xfId="4" applyFont="1" applyBorder="1"/>
    <xf numFmtId="171" fontId="19" fillId="0" borderId="16" xfId="5" applyNumberFormat="1" applyFont="1" applyBorder="1"/>
    <xf numFmtId="44" fontId="19" fillId="0" borderId="16" xfId="0" applyNumberFormat="1" applyFont="1" applyBorder="1"/>
    <xf numFmtId="0" fontId="24" fillId="3" borderId="17" xfId="2" applyFont="1" applyBorder="1" applyAlignment="1">
      <alignment vertical="center"/>
    </xf>
    <xf numFmtId="0" fontId="19" fillId="0" borderId="17" xfId="0" applyFont="1" applyBorder="1"/>
    <xf numFmtId="171" fontId="19" fillId="0" borderId="17" xfId="0" applyNumberFormat="1" applyFont="1" applyBorder="1"/>
    <xf numFmtId="167" fontId="19" fillId="0" borderId="17" xfId="0" applyNumberFormat="1" applyFont="1" applyBorder="1"/>
    <xf numFmtId="9" fontId="19" fillId="0" borderId="17" xfId="4" applyFont="1" applyBorder="1"/>
    <xf numFmtId="171" fontId="19" fillId="0" borderId="17" xfId="5" applyNumberFormat="1" applyFont="1" applyBorder="1"/>
    <xf numFmtId="44" fontId="19" fillId="0" borderId="17" xfId="0" applyNumberFormat="1" applyFont="1" applyBorder="1"/>
    <xf numFmtId="44" fontId="19" fillId="0" borderId="17" xfId="5" applyFont="1" applyBorder="1"/>
    <xf numFmtId="0" fontId="19" fillId="0" borderId="16" xfId="0" applyFont="1" applyBorder="1" applyAlignment="1">
      <alignment horizontal="left"/>
    </xf>
    <xf numFmtId="2" fontId="19" fillId="0" borderId="16" xfId="0" applyNumberFormat="1" applyFont="1" applyBorder="1"/>
    <xf numFmtId="2" fontId="19" fillId="0" borderId="17" xfId="0" applyNumberFormat="1" applyFont="1" applyBorder="1"/>
    <xf numFmtId="2" fontId="19" fillId="0" borderId="0" xfId="0" applyNumberFormat="1" applyFont="1"/>
    <xf numFmtId="0" fontId="23" fillId="10" borderId="18" xfId="0" applyFont="1" applyFill="1" applyBorder="1" applyAlignment="1">
      <alignment horizontal="right"/>
    </xf>
    <xf numFmtId="0" fontId="23" fillId="10" borderId="18" xfId="0" applyFont="1" applyFill="1" applyBorder="1"/>
    <xf numFmtId="0" fontId="17" fillId="10" borderId="18" xfId="0" applyFont="1" applyFill="1" applyBorder="1"/>
    <xf numFmtId="0" fontId="0" fillId="10" borderId="0" xfId="0" applyFill="1"/>
    <xf numFmtId="0" fontId="5" fillId="10" borderId="0" xfId="0" applyFont="1" applyFill="1"/>
    <xf numFmtId="0" fontId="17" fillId="6" borderId="0" xfId="5" applyNumberFormat="1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7" fillId="6" borderId="25" xfId="5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8" fillId="10" borderId="0" xfId="0" applyFont="1" applyFill="1" applyAlignment="1">
      <alignment horizontal="center"/>
    </xf>
    <xf numFmtId="0" fontId="17" fillId="10" borderId="0" xfId="5" applyNumberFormat="1" applyFont="1" applyFill="1" applyAlignment="1">
      <alignment horizontal="center"/>
    </xf>
    <xf numFmtId="166" fontId="17" fillId="10" borderId="0" xfId="5" applyNumberFormat="1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9" fillId="6" borderId="21" xfId="0" applyFont="1" applyFill="1" applyBorder="1" applyAlignment="1">
      <alignment horizontal="left"/>
    </xf>
    <xf numFmtId="38" fontId="21" fillId="6" borderId="21" xfId="0" applyNumberFormat="1" applyFont="1" applyFill="1" applyBorder="1" applyAlignment="1">
      <alignment vertical="center"/>
    </xf>
    <xf numFmtId="38" fontId="21" fillId="6" borderId="0" xfId="0" applyNumberFormat="1" applyFont="1" applyFill="1" applyAlignment="1">
      <alignment vertical="center"/>
    </xf>
    <xf numFmtId="38" fontId="17" fillId="6" borderId="21" xfId="0" applyNumberFormat="1" applyFont="1" applyFill="1" applyBorder="1" applyAlignment="1">
      <alignment horizontal="right"/>
    </xf>
    <xf numFmtId="38" fontId="17" fillId="6" borderId="0" xfId="0" applyNumberFormat="1" applyFont="1" applyFill="1" applyAlignment="1">
      <alignment horizontal="right"/>
    </xf>
    <xf numFmtId="38" fontId="17" fillId="6" borderId="0" xfId="5" applyNumberFormat="1" applyFont="1" applyFill="1" applyBorder="1" applyAlignment="1">
      <alignment horizontal="right"/>
    </xf>
    <xf numFmtId="38" fontId="17" fillId="6" borderId="25" xfId="5" applyNumberFormat="1" applyFont="1" applyFill="1" applyBorder="1" applyAlignment="1">
      <alignment horizontal="right"/>
    </xf>
    <xf numFmtId="38" fontId="17" fillId="10" borderId="0" xfId="5" applyNumberFormat="1" applyFont="1" applyFill="1" applyAlignment="1">
      <alignment horizontal="right"/>
    </xf>
    <xf numFmtId="0" fontId="25" fillId="6" borderId="0" xfId="0" applyFont="1" applyFill="1" applyAlignment="1">
      <alignment horizontal="right"/>
    </xf>
    <xf numFmtId="38" fontId="26" fillId="9" borderId="5" xfId="3" applyNumberFormat="1" applyFont="1" applyFill="1" applyBorder="1" applyAlignment="1">
      <alignment horizontal="center"/>
    </xf>
    <xf numFmtId="0" fontId="26" fillId="9" borderId="5" xfId="5" applyNumberFormat="1" applyFont="1" applyFill="1" applyBorder="1" applyAlignment="1">
      <alignment horizontal="center"/>
    </xf>
    <xf numFmtId="0" fontId="26" fillId="9" borderId="5" xfId="2" applyFont="1" applyFill="1" applyBorder="1" applyAlignment="1">
      <alignment horizontal="center"/>
    </xf>
    <xf numFmtId="0" fontId="26" fillId="9" borderId="5" xfId="2" applyNumberFormat="1" applyFont="1" applyFill="1" applyBorder="1" applyAlignment="1">
      <alignment horizontal="center"/>
    </xf>
    <xf numFmtId="0" fontId="27" fillId="6" borderId="21" xfId="0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49" fontId="18" fillId="7" borderId="23" xfId="0" quotePrefix="1" applyNumberFormat="1" applyFont="1" applyFill="1" applyBorder="1" applyAlignment="1">
      <alignment horizontal="center"/>
    </xf>
    <xf numFmtId="0" fontId="28" fillId="10" borderId="0" xfId="0" applyFont="1" applyFill="1" applyAlignment="1">
      <alignment horizontal="center"/>
    </xf>
    <xf numFmtId="49" fontId="18" fillId="7" borderId="20" xfId="0" quotePrefix="1" applyNumberFormat="1" applyFont="1" applyFill="1" applyBorder="1" applyAlignment="1">
      <alignment horizontal="right"/>
    </xf>
    <xf numFmtId="38" fontId="18" fillId="6" borderId="24" xfId="0" applyNumberFormat="1" applyFont="1" applyFill="1" applyBorder="1" applyAlignment="1">
      <alignment horizontal="left"/>
    </xf>
    <xf numFmtId="38" fontId="17" fillId="10" borderId="0" xfId="0" applyNumberFormat="1" applyFont="1" applyFill="1"/>
    <xf numFmtId="0" fontId="17" fillId="6" borderId="21" xfId="0" applyFont="1" applyFill="1" applyBorder="1" applyAlignment="1">
      <alignment horizontal="center"/>
    </xf>
    <xf numFmtId="166" fontId="17" fillId="6" borderId="21" xfId="5" applyNumberFormat="1" applyFont="1" applyFill="1" applyBorder="1" applyAlignment="1"/>
    <xf numFmtId="166" fontId="17" fillId="6" borderId="0" xfId="5" applyNumberFormat="1" applyFont="1" applyFill="1" applyBorder="1" applyAlignment="1"/>
    <xf numFmtId="166" fontId="17" fillId="6" borderId="0" xfId="5" applyNumberFormat="1" applyFont="1" applyFill="1" applyBorder="1" applyAlignment="1">
      <alignment horizontal="center"/>
    </xf>
    <xf numFmtId="166" fontId="17" fillId="6" borderId="25" xfId="5" applyNumberFormat="1" applyFont="1" applyFill="1" applyBorder="1" applyAlignment="1">
      <alignment horizontal="center"/>
    </xf>
    <xf numFmtId="166" fontId="17" fillId="10" borderId="0" xfId="5" applyNumberFormat="1" applyFont="1" applyFill="1"/>
    <xf numFmtId="6" fontId="17" fillId="6" borderId="21" xfId="0" applyNumberFormat="1" applyFont="1" applyFill="1" applyBorder="1" applyAlignment="1">
      <alignment horizontal="right"/>
    </xf>
    <xf numFmtId="6" fontId="17" fillId="6" borderId="0" xfId="0" applyNumberFormat="1" applyFont="1" applyFill="1" applyAlignment="1">
      <alignment horizontal="right"/>
    </xf>
    <xf numFmtId="6" fontId="17" fillId="6" borderId="0" xfId="5" applyNumberFormat="1" applyFont="1" applyFill="1" applyBorder="1" applyAlignment="1">
      <alignment horizontal="right"/>
    </xf>
    <xf numFmtId="6" fontId="17" fillId="6" borderId="25" xfId="5" applyNumberFormat="1" applyFont="1" applyFill="1" applyBorder="1" applyAlignment="1">
      <alignment horizontal="right"/>
    </xf>
    <xf numFmtId="6" fontId="26" fillId="9" borderId="5" xfId="5" applyNumberFormat="1" applyFont="1" applyFill="1" applyBorder="1" applyAlignment="1">
      <alignment horizontal="right"/>
    </xf>
    <xf numFmtId="6" fontId="17" fillId="10" borderId="0" xfId="5" applyNumberFormat="1" applyFont="1" applyFill="1" applyAlignment="1">
      <alignment horizontal="right"/>
    </xf>
    <xf numFmtId="8" fontId="17" fillId="6" borderId="21" xfId="0" applyNumberFormat="1" applyFont="1" applyFill="1" applyBorder="1" applyAlignment="1">
      <alignment horizontal="right"/>
    </xf>
    <xf numFmtId="8" fontId="17" fillId="6" borderId="21" xfId="5" applyNumberFormat="1" applyFont="1" applyFill="1" applyBorder="1" applyAlignment="1">
      <alignment horizontal="right"/>
    </xf>
    <xf numFmtId="8" fontId="17" fillId="6" borderId="0" xfId="0" applyNumberFormat="1" applyFont="1" applyFill="1" applyAlignment="1">
      <alignment horizontal="right"/>
    </xf>
    <xf numFmtId="8" fontId="17" fillId="6" borderId="0" xfId="5" applyNumberFormat="1" applyFont="1" applyFill="1" applyBorder="1" applyAlignment="1">
      <alignment horizontal="right"/>
    </xf>
    <xf numFmtId="8" fontId="17" fillId="6" borderId="25" xfId="5" applyNumberFormat="1" applyFont="1" applyFill="1" applyBorder="1" applyAlignment="1">
      <alignment horizontal="right"/>
    </xf>
    <xf numFmtId="8" fontId="26" fillId="9" borderId="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right"/>
    </xf>
    <xf numFmtId="0" fontId="19" fillId="6" borderId="21" xfId="0" applyFont="1" applyFill="1" applyBorder="1" applyAlignment="1">
      <alignment horizontal="center"/>
    </xf>
    <xf numFmtId="6" fontId="17" fillId="10" borderId="0" xfId="0" applyNumberFormat="1" applyFont="1" applyFill="1"/>
    <xf numFmtId="8" fontId="17" fillId="10" borderId="0" xfId="0" applyNumberFormat="1" applyFont="1" applyFill="1"/>
    <xf numFmtId="166" fontId="26" fillId="9" borderId="5" xfId="5" applyNumberFormat="1" applyFont="1" applyFill="1" applyBorder="1" applyAlignment="1">
      <alignment horizontal="center"/>
    </xf>
    <xf numFmtId="49" fontId="18" fillId="7" borderId="27" xfId="0" quotePrefix="1" applyNumberFormat="1" applyFont="1" applyFill="1" applyBorder="1" applyAlignment="1">
      <alignment horizontal="center"/>
    </xf>
    <xf numFmtId="0" fontId="18" fillId="7" borderId="19" xfId="0" applyFont="1" applyFill="1" applyBorder="1" applyAlignment="1">
      <alignment horizontal="right"/>
    </xf>
    <xf numFmtId="166" fontId="26" fillId="9" borderId="5" xfId="5" applyNumberFormat="1" applyFont="1" applyFill="1" applyBorder="1" applyAlignment="1">
      <alignment horizontal="center" wrapText="1"/>
    </xf>
    <xf numFmtId="168" fontId="17" fillId="6" borderId="21" xfId="0" applyNumberFormat="1" applyFont="1" applyFill="1" applyBorder="1" applyAlignment="1">
      <alignment horizontal="center"/>
    </xf>
    <xf numFmtId="168" fontId="17" fillId="6" borderId="0" xfId="0" applyNumberFormat="1" applyFont="1" applyFill="1" applyAlignment="1">
      <alignment horizontal="center"/>
    </xf>
    <xf numFmtId="168" fontId="17" fillId="6" borderId="0" xfId="5" applyNumberFormat="1" applyFont="1" applyFill="1" applyBorder="1" applyAlignment="1">
      <alignment horizontal="center"/>
    </xf>
    <xf numFmtId="168" fontId="17" fillId="6" borderId="25" xfId="5" applyNumberFormat="1" applyFont="1" applyFill="1" applyBorder="1" applyAlignment="1">
      <alignment horizontal="center"/>
    </xf>
    <xf numFmtId="168" fontId="26" fillId="9" borderId="5" xfId="3" applyNumberFormat="1" applyFont="1" applyFill="1" applyBorder="1" applyAlignment="1">
      <alignment horizontal="center"/>
    </xf>
    <xf numFmtId="168" fontId="26" fillId="9" borderId="5" xfId="5" applyNumberFormat="1" applyFont="1" applyFill="1" applyBorder="1" applyAlignment="1">
      <alignment horizontal="center"/>
    </xf>
    <xf numFmtId="168" fontId="17" fillId="10" borderId="0" xfId="5" applyNumberFormat="1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66" fontId="17" fillId="6" borderId="21" xfId="5" applyNumberFormat="1" applyFont="1" applyFill="1" applyBorder="1" applyAlignment="1">
      <alignment horizontal="center"/>
    </xf>
    <xf numFmtId="6" fontId="17" fillId="6" borderId="21" xfId="0" applyNumberFormat="1" applyFont="1" applyFill="1" applyBorder="1" applyAlignment="1">
      <alignment horizontal="center"/>
    </xf>
    <xf numFmtId="6" fontId="17" fillId="6" borderId="0" xfId="0" applyNumberFormat="1" applyFont="1" applyFill="1" applyAlignment="1">
      <alignment horizontal="center"/>
    </xf>
    <xf numFmtId="6" fontId="17" fillId="6" borderId="0" xfId="5" applyNumberFormat="1" applyFont="1" applyFill="1" applyBorder="1" applyAlignment="1">
      <alignment horizontal="center"/>
    </xf>
    <xf numFmtId="6" fontId="17" fillId="6" borderId="25" xfId="5" applyNumberFormat="1" applyFont="1" applyFill="1" applyBorder="1" applyAlignment="1">
      <alignment horizontal="center"/>
    </xf>
    <xf numFmtId="6" fontId="26" fillId="9" borderId="5" xfId="5" applyNumberFormat="1" applyFont="1" applyFill="1" applyBorder="1" applyAlignment="1">
      <alignment horizontal="center"/>
    </xf>
    <xf numFmtId="6" fontId="17" fillId="10" borderId="0" xfId="5" applyNumberFormat="1" applyFont="1" applyFill="1" applyAlignment="1">
      <alignment horizontal="center"/>
    </xf>
    <xf numFmtId="6" fontId="17" fillId="10" borderId="0" xfId="0" applyNumberFormat="1" applyFont="1" applyFill="1" applyAlignment="1">
      <alignment horizontal="center"/>
    </xf>
    <xf numFmtId="8" fontId="17" fillId="6" borderId="21" xfId="0" applyNumberFormat="1" applyFont="1" applyFill="1" applyBorder="1" applyAlignment="1">
      <alignment horizontal="center"/>
    </xf>
    <xf numFmtId="8" fontId="17" fillId="6" borderId="21" xfId="5" applyNumberFormat="1" applyFont="1" applyFill="1" applyBorder="1" applyAlignment="1">
      <alignment horizontal="center"/>
    </xf>
    <xf numFmtId="8" fontId="17" fillId="6" borderId="0" xfId="0" applyNumberFormat="1" applyFont="1" applyFill="1" applyAlignment="1">
      <alignment horizontal="center"/>
    </xf>
    <xf numFmtId="8" fontId="17" fillId="6" borderId="0" xfId="5" applyNumberFormat="1" applyFont="1" applyFill="1" applyBorder="1" applyAlignment="1">
      <alignment horizontal="center"/>
    </xf>
    <xf numFmtId="8" fontId="17" fillId="6" borderId="2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center"/>
    </xf>
    <xf numFmtId="8" fontId="17" fillId="10" borderId="0" xfId="0" applyNumberFormat="1" applyFont="1" applyFill="1" applyAlignment="1">
      <alignment horizontal="center"/>
    </xf>
    <xf numFmtId="38" fontId="17" fillId="6" borderId="21" xfId="5" applyNumberFormat="1" applyFont="1" applyFill="1" applyBorder="1" applyAlignment="1">
      <alignment horizontal="right"/>
    </xf>
    <xf numFmtId="38" fontId="26" fillId="9" borderId="5" xfId="5" applyNumberFormat="1" applyFont="1" applyFill="1" applyBorder="1" applyAlignment="1">
      <alignment horizontal="center"/>
    </xf>
    <xf numFmtId="38" fontId="26" fillId="9" borderId="5" xfId="2" applyNumberFormat="1" applyFont="1" applyFill="1" applyBorder="1" applyAlignment="1">
      <alignment horizontal="center"/>
    </xf>
    <xf numFmtId="38" fontId="17" fillId="6" borderId="25" xfId="0" applyNumberFormat="1" applyFont="1" applyFill="1" applyBorder="1" applyAlignment="1">
      <alignment horizontal="right"/>
    </xf>
    <xf numFmtId="38" fontId="17" fillId="10" borderId="0" xfId="0" applyNumberFormat="1" applyFont="1" applyFill="1" applyAlignment="1">
      <alignment horizontal="right"/>
    </xf>
    <xf numFmtId="43" fontId="27" fillId="6" borderId="21" xfId="3" applyFont="1" applyFill="1" applyBorder="1" applyAlignment="1">
      <alignment horizontal="right"/>
    </xf>
    <xf numFmtId="43" fontId="27" fillId="6" borderId="0" xfId="3" applyFont="1" applyFill="1" applyBorder="1" applyAlignment="1">
      <alignment horizontal="right"/>
    </xf>
    <xf numFmtId="43" fontId="26" fillId="9" borderId="5" xfId="3" applyFont="1" applyFill="1" applyBorder="1" applyAlignment="1">
      <alignment horizontal="center"/>
    </xf>
    <xf numFmtId="43" fontId="17" fillId="10" borderId="0" xfId="3" applyFont="1" applyFill="1" applyAlignment="1">
      <alignment horizontal="center"/>
    </xf>
    <xf numFmtId="0" fontId="17" fillId="6" borderId="0" xfId="0" applyFont="1" applyFill="1" applyAlignment="1">
      <alignment horizontal="left"/>
    </xf>
    <xf numFmtId="0" fontId="29" fillId="9" borderId="5" xfId="5" applyNumberFormat="1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8" fillId="10" borderId="0" xfId="0" applyFont="1" applyFill="1"/>
    <xf numFmtId="49" fontId="30" fillId="9" borderId="5" xfId="5" applyNumberFormat="1" applyFont="1" applyFill="1" applyBorder="1" applyAlignment="1">
      <alignment horizontal="center"/>
    </xf>
    <xf numFmtId="0" fontId="30" fillId="9" borderId="5" xfId="5" applyNumberFormat="1" applyFont="1" applyFill="1" applyBorder="1" applyAlignment="1">
      <alignment horizontal="center"/>
    </xf>
    <xf numFmtId="0" fontId="31" fillId="9" borderId="5" xfId="5" applyNumberFormat="1" applyFont="1" applyFill="1" applyBorder="1" applyAlignment="1">
      <alignment horizontal="center"/>
    </xf>
    <xf numFmtId="43" fontId="18" fillId="10" borderId="0" xfId="3" applyFont="1" applyFill="1"/>
    <xf numFmtId="43" fontId="31" fillId="9" borderId="5" xfId="3" applyFont="1" applyFill="1" applyBorder="1" applyAlignment="1">
      <alignment horizontal="center"/>
    </xf>
    <xf numFmtId="165" fontId="18" fillId="10" borderId="0" xfId="3" applyNumberFormat="1" applyFont="1" applyFill="1"/>
    <xf numFmtId="165" fontId="31" fillId="9" borderId="5" xfId="3" applyNumberFormat="1" applyFont="1" applyFill="1" applyBorder="1" applyAlignment="1">
      <alignment horizontal="center"/>
    </xf>
    <xf numFmtId="43" fontId="30" fillId="9" borderId="5" xfId="3" applyFont="1" applyFill="1" applyBorder="1" applyAlignment="1">
      <alignment horizontal="center"/>
    </xf>
    <xf numFmtId="49" fontId="18" fillId="10" borderId="0" xfId="0" applyNumberFormat="1" applyFont="1" applyFill="1" applyAlignment="1">
      <alignment horizontal="center"/>
    </xf>
    <xf numFmtId="49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3" fontId="18" fillId="6" borderId="0" xfId="3" applyFont="1" applyFill="1"/>
    <xf numFmtId="165" fontId="18" fillId="6" borderId="0" xfId="3" applyNumberFormat="1" applyFont="1" applyFill="1"/>
    <xf numFmtId="168" fontId="29" fillId="9" borderId="5" xfId="3" applyNumberFormat="1" applyFont="1" applyFill="1" applyBorder="1" applyAlignment="1">
      <alignment horizontal="center"/>
    </xf>
    <xf numFmtId="168" fontId="17" fillId="10" borderId="0" xfId="3" applyNumberFormat="1" applyFont="1" applyFill="1" applyAlignment="1">
      <alignment horizontal="center"/>
    </xf>
    <xf numFmtId="168" fontId="21" fillId="6" borderId="21" xfId="0" applyNumberFormat="1" applyFont="1" applyFill="1" applyBorder="1" applyAlignment="1">
      <alignment horizontal="left" vertical="center"/>
    </xf>
    <xf numFmtId="168" fontId="21" fillId="6" borderId="0" xfId="0" applyNumberFormat="1" applyFont="1" applyFill="1" applyAlignment="1">
      <alignment horizontal="left" vertical="center"/>
    </xf>
    <xf numFmtId="0" fontId="19" fillId="6" borderId="21" xfId="3" applyNumberFormat="1" applyFont="1" applyFill="1" applyBorder="1" applyAlignment="1">
      <alignment horizontal="left"/>
    </xf>
    <xf numFmtId="0" fontId="23" fillId="10" borderId="0" xfId="0" applyFont="1" applyFill="1"/>
    <xf numFmtId="0" fontId="33" fillId="10" borderId="0" xfId="0" applyFont="1" applyFill="1" applyAlignment="1">
      <alignment horizontal="center"/>
    </xf>
    <xf numFmtId="0" fontId="20" fillId="9" borderId="0" xfId="1" applyFont="1" applyFill="1" applyBorder="1" applyAlignment="1">
      <alignment horizontal="right"/>
    </xf>
    <xf numFmtId="0" fontId="17" fillId="6" borderId="0" xfId="0" applyFont="1" applyFill="1"/>
    <xf numFmtId="0" fontId="23" fillId="6" borderId="0" xfId="0" applyFont="1" applyFill="1"/>
    <xf numFmtId="0" fontId="21" fillId="6" borderId="13" xfId="0" applyFont="1" applyFill="1" applyBorder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/>
    </xf>
    <xf numFmtId="0" fontId="17" fillId="6" borderId="9" xfId="0" applyFont="1" applyFill="1" applyBorder="1"/>
    <xf numFmtId="0" fontId="17" fillId="7" borderId="7" xfId="0" applyFont="1" applyFill="1" applyBorder="1"/>
    <xf numFmtId="49" fontId="17" fillId="7" borderId="9" xfId="0" applyNumberFormat="1" applyFont="1" applyFill="1" applyBorder="1"/>
    <xf numFmtId="0" fontId="17" fillId="7" borderId="8" xfId="0" applyFont="1" applyFill="1" applyBorder="1"/>
    <xf numFmtId="49" fontId="17" fillId="7" borderId="11" xfId="0" applyNumberFormat="1" applyFont="1" applyFill="1" applyBorder="1"/>
    <xf numFmtId="0" fontId="35" fillId="7" borderId="30" xfId="0" applyFont="1" applyFill="1" applyBorder="1" applyAlignment="1">
      <alignment horizontal="left" vertical="center"/>
    </xf>
    <xf numFmtId="0" fontId="35" fillId="7" borderId="4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6" fillId="10" borderId="0" xfId="2" applyFont="1" applyFill="1"/>
    <xf numFmtId="0" fontId="38" fillId="9" borderId="13" xfId="1" applyFont="1" applyFill="1" applyBorder="1" applyAlignment="1">
      <alignment horizontal="center"/>
    </xf>
    <xf numFmtId="49" fontId="17" fillId="10" borderId="0" xfId="0" quotePrefix="1" applyNumberFormat="1" applyFont="1" applyFill="1"/>
    <xf numFmtId="0" fontId="32" fillId="10" borderId="0" xfId="2" applyFont="1" applyFill="1" applyBorder="1" applyAlignment="1"/>
    <xf numFmtId="49" fontId="17" fillId="10" borderId="9" xfId="0" quotePrefix="1" applyNumberFormat="1" applyFont="1" applyFill="1" applyBorder="1"/>
    <xf numFmtId="0" fontId="19" fillId="7" borderId="0" xfId="0" applyFont="1" applyFill="1"/>
    <xf numFmtId="43" fontId="19" fillId="7" borderId="0" xfId="3" applyFont="1" applyFill="1"/>
    <xf numFmtId="164" fontId="19" fillId="7" borderId="0" xfId="3" applyNumberFormat="1" applyFont="1" applyFill="1"/>
    <xf numFmtId="165" fontId="19" fillId="7" borderId="0" xfId="3" applyNumberFormat="1" applyFont="1" applyFill="1"/>
    <xf numFmtId="0" fontId="19" fillId="7" borderId="31" xfId="0" applyFont="1" applyFill="1" applyBorder="1"/>
    <xf numFmtId="172" fontId="39" fillId="7" borderId="0" xfId="0" applyNumberFormat="1" applyFont="1" applyFill="1"/>
    <xf numFmtId="0" fontId="17" fillId="6" borderId="0" xfId="0" applyFont="1" applyFill="1" applyAlignment="1">
      <alignment vertical="top"/>
    </xf>
    <xf numFmtId="0" fontId="20" fillId="9" borderId="32" xfId="1" applyFont="1" applyFill="1" applyBorder="1" applyAlignment="1"/>
    <xf numFmtId="0" fontId="37" fillId="7" borderId="33" xfId="0" applyFont="1" applyFill="1" applyBorder="1"/>
    <xf numFmtId="0" fontId="37" fillId="7" borderId="9" xfId="0" applyFont="1" applyFill="1" applyBorder="1" applyAlignment="1">
      <alignment horizontal="left"/>
    </xf>
    <xf numFmtId="0" fontId="37" fillId="7" borderId="9" xfId="0" applyFont="1" applyFill="1" applyBorder="1"/>
    <xf numFmtId="0" fontId="12" fillId="9" borderId="4" xfId="7" applyFont="1" applyFill="1" applyBorder="1" applyAlignment="1">
      <alignment horizontal="center"/>
    </xf>
    <xf numFmtId="0" fontId="12" fillId="9" borderId="6" xfId="7" applyFont="1" applyFill="1" applyBorder="1" applyAlignment="1">
      <alignment horizontal="center"/>
    </xf>
    <xf numFmtId="0" fontId="12" fillId="9" borderId="31" xfId="7" applyFont="1" applyFill="1" applyBorder="1" applyAlignment="1">
      <alignment horizontal="center"/>
    </xf>
    <xf numFmtId="0" fontId="1" fillId="10" borderId="0" xfId="8" applyFill="1"/>
    <xf numFmtId="0" fontId="6" fillId="10" borderId="0" xfId="8" applyFont="1" applyFill="1"/>
    <xf numFmtId="0" fontId="14" fillId="10" borderId="0" xfId="8" applyFont="1" applyFill="1"/>
    <xf numFmtId="9" fontId="5" fillId="10" borderId="7" xfId="9" applyFont="1" applyFill="1" applyBorder="1"/>
    <xf numFmtId="9" fontId="5" fillId="10" borderId="0" xfId="9" applyFont="1" applyFill="1"/>
    <xf numFmtId="44" fontId="5" fillId="10" borderId="0" xfId="10" applyFont="1" applyFill="1"/>
    <xf numFmtId="9" fontId="5" fillId="10" borderId="9" xfId="9" applyFont="1" applyFill="1" applyBorder="1"/>
    <xf numFmtId="0" fontId="15" fillId="10" borderId="0" xfId="8" applyFont="1" applyFill="1"/>
    <xf numFmtId="9" fontId="5" fillId="10" borderId="8" xfId="9" applyFont="1" applyFill="1" applyBorder="1"/>
    <xf numFmtId="9" fontId="5" fillId="10" borderId="2" xfId="9" applyFont="1" applyFill="1" applyBorder="1"/>
    <xf numFmtId="0" fontId="6" fillId="10" borderId="2" xfId="8" applyFont="1" applyFill="1" applyBorder="1"/>
    <xf numFmtId="44" fontId="5" fillId="10" borderId="2" xfId="10" applyFont="1" applyFill="1" applyBorder="1"/>
    <xf numFmtId="9" fontId="5" fillId="10" borderId="11" xfId="9" applyFont="1" applyFill="1" applyBorder="1"/>
    <xf numFmtId="0" fontId="13" fillId="10" borderId="0" xfId="6" applyFont="1" applyFill="1" applyBorder="1"/>
    <xf numFmtId="9" fontId="0" fillId="10" borderId="7" xfId="9" applyFont="1" applyFill="1" applyBorder="1"/>
    <xf numFmtId="9" fontId="0" fillId="10" borderId="0" xfId="9" applyFont="1" applyFill="1"/>
    <xf numFmtId="44" fontId="0" fillId="10" borderId="0" xfId="10" applyFont="1" applyFill="1"/>
    <xf numFmtId="9" fontId="0" fillId="10" borderId="9" xfId="9" applyFont="1" applyFill="1" applyBorder="1"/>
    <xf numFmtId="0" fontId="5" fillId="9" borderId="0" xfId="0" applyFont="1" applyFill="1"/>
    <xf numFmtId="0" fontId="0" fillId="9" borderId="0" xfId="0" applyFill="1"/>
    <xf numFmtId="0" fontId="40" fillId="10" borderId="0" xfId="8" applyFont="1" applyFill="1"/>
    <xf numFmtId="0" fontId="41" fillId="10" borderId="0" xfId="8" applyFont="1" applyFill="1" applyAlignment="1">
      <alignment horizontal="right" vertical="center"/>
    </xf>
    <xf numFmtId="0" fontId="41" fillId="10" borderId="0" xfId="8" applyFont="1" applyFill="1" applyAlignment="1">
      <alignment vertical="center"/>
    </xf>
    <xf numFmtId="49" fontId="18" fillId="7" borderId="34" xfId="0" quotePrefix="1" applyNumberFormat="1" applyFont="1" applyFill="1" applyBorder="1" applyAlignment="1">
      <alignment horizontal="right"/>
    </xf>
    <xf numFmtId="0" fontId="43" fillId="9" borderId="34" xfId="8" applyFont="1" applyFill="1" applyBorder="1" applyAlignment="1">
      <alignment horizontal="center"/>
    </xf>
    <xf numFmtId="0" fontId="42" fillId="7" borderId="34" xfId="8" applyFont="1" applyFill="1" applyBorder="1" applyAlignment="1">
      <alignment horizontal="center"/>
    </xf>
    <xf numFmtId="0" fontId="19" fillId="7" borderId="34" xfId="0" applyFont="1" applyFill="1" applyBorder="1" applyAlignment="1">
      <alignment horizontal="center"/>
    </xf>
    <xf numFmtId="49" fontId="19" fillId="7" borderId="36" xfId="0" quotePrefix="1" applyNumberFormat="1" applyFont="1" applyFill="1" applyBorder="1" applyAlignment="1">
      <alignment horizontal="right"/>
    </xf>
    <xf numFmtId="49" fontId="19" fillId="7" borderId="35" xfId="0" quotePrefix="1" applyNumberFormat="1" applyFont="1" applyFill="1" applyBorder="1" applyAlignment="1">
      <alignment horizontal="right"/>
    </xf>
    <xf numFmtId="49" fontId="19" fillId="7" borderId="37" xfId="0" quotePrefix="1" applyNumberFormat="1" applyFont="1" applyFill="1" applyBorder="1" applyAlignment="1">
      <alignment horizontal="right"/>
    </xf>
    <xf numFmtId="0" fontId="21" fillId="6" borderId="38" xfId="0" applyFont="1" applyFill="1" applyBorder="1" applyAlignment="1">
      <alignment vertical="center"/>
    </xf>
    <xf numFmtId="0" fontId="44" fillId="6" borderId="0" xfId="0" applyFont="1" applyFill="1" applyAlignment="1">
      <alignment vertical="center"/>
    </xf>
    <xf numFmtId="0" fontId="44" fillId="6" borderId="35" xfId="0" applyFont="1" applyFill="1" applyBorder="1" applyAlignment="1">
      <alignment vertical="center"/>
    </xf>
    <xf numFmtId="0" fontId="44" fillId="6" borderId="39" xfId="0" applyFont="1" applyFill="1" applyBorder="1" applyAlignment="1">
      <alignment vertical="center"/>
    </xf>
    <xf numFmtId="0" fontId="12" fillId="9" borderId="5" xfId="8" applyFont="1" applyFill="1" applyBorder="1" applyAlignment="1">
      <alignment horizontal="center"/>
    </xf>
    <xf numFmtId="44" fontId="12" fillId="9" borderId="5" xfId="10" applyFont="1" applyFill="1" applyBorder="1" applyAlignment="1">
      <alignment horizontal="center"/>
    </xf>
    <xf numFmtId="9" fontId="12" fillId="9" borderId="5" xfId="9" applyFont="1" applyFill="1" applyBorder="1" applyAlignment="1">
      <alignment horizontal="center"/>
    </xf>
    <xf numFmtId="9" fontId="12" fillId="9" borderId="10" xfId="9" applyFont="1" applyFill="1" applyBorder="1" applyAlignment="1">
      <alignment horizontal="center"/>
    </xf>
    <xf numFmtId="0" fontId="23" fillId="10" borderId="0" xfId="0" applyFont="1" applyFill="1" applyAlignment="1">
      <alignment horizontal="left" indent="13"/>
    </xf>
    <xf numFmtId="0" fontId="17" fillId="10" borderId="0" xfId="0" applyFont="1" applyFill="1" applyAlignment="1">
      <alignment vertical="top"/>
    </xf>
    <xf numFmtId="0" fontId="17" fillId="10" borderId="0" xfId="0" applyFont="1" applyFill="1" applyAlignment="1">
      <alignment horizontal="left" vertical="top" indent="1"/>
    </xf>
    <xf numFmtId="0" fontId="33" fillId="10" borderId="0" xfId="0" applyFont="1" applyFill="1" applyAlignment="1">
      <alignment vertical="top"/>
    </xf>
    <xf numFmtId="0" fontId="49" fillId="9" borderId="0" xfId="11" applyFont="1" applyFill="1" applyAlignment="1"/>
    <xf numFmtId="0" fontId="17" fillId="10" borderId="0" xfId="0" applyFont="1" applyFill="1" applyAlignment="1">
      <alignment horizontal="left" indent="1"/>
    </xf>
    <xf numFmtId="0" fontId="43" fillId="9" borderId="0" xfId="11" applyFont="1" applyFill="1" applyAlignment="1">
      <alignment horizontal="left" indent="1"/>
    </xf>
    <xf numFmtId="0" fontId="17" fillId="6" borderId="0" xfId="0" applyFont="1" applyFill="1" applyAlignment="1">
      <alignment horizontal="left" indent="1"/>
    </xf>
    <xf numFmtId="0" fontId="21" fillId="6" borderId="7" xfId="0" applyFont="1" applyFill="1" applyBorder="1" applyAlignment="1">
      <alignment horizontal="left" vertical="center"/>
    </xf>
    <xf numFmtId="0" fontId="49" fillId="9" borderId="9" xfId="11" applyFont="1" applyFill="1" applyBorder="1" applyAlignment="1"/>
    <xf numFmtId="0" fontId="48" fillId="6" borderId="0" xfId="0" applyFont="1" applyFill="1" applyAlignment="1">
      <alignment horizontal="right"/>
    </xf>
    <xf numFmtId="0" fontId="47" fillId="6" borderId="9" xfId="0" applyFont="1" applyFill="1" applyBorder="1" applyAlignment="1">
      <alignment horizontal="left"/>
    </xf>
    <xf numFmtId="0" fontId="20" fillId="9" borderId="9" xfId="7" applyFont="1" applyFill="1" applyBorder="1" applyAlignment="1">
      <alignment horizontal="center"/>
    </xf>
    <xf numFmtId="0" fontId="23" fillId="10" borderId="41" xfId="0" applyFont="1" applyFill="1" applyBorder="1" applyAlignment="1">
      <alignment vertical="top" wrapText="1"/>
    </xf>
    <xf numFmtId="0" fontId="39" fillId="10" borderId="0" xfId="0" applyFont="1" applyFill="1" applyAlignment="1">
      <alignment vertical="center"/>
    </xf>
    <xf numFmtId="0" fontId="50" fillId="7" borderId="0" xfId="0" applyFont="1" applyFill="1" applyAlignment="1">
      <alignment horizontal="right"/>
    </xf>
    <xf numFmtId="0" fontId="17" fillId="10" borderId="4" xfId="0" applyFont="1" applyFill="1" applyBorder="1"/>
    <xf numFmtId="0" fontId="17" fillId="7" borderId="3" xfId="6" applyNumberFormat="1" applyFont="1" applyFill="1" applyAlignment="1">
      <alignment horizontal="left" indent="1"/>
    </xf>
    <xf numFmtId="49" fontId="17" fillId="7" borderId="3" xfId="6" applyNumberFormat="1" applyFont="1" applyFill="1" applyAlignment="1">
      <alignment horizontal="left" indent="1"/>
    </xf>
    <xf numFmtId="0" fontId="17" fillId="10" borderId="2" xfId="0" applyFont="1" applyFill="1" applyBorder="1" applyAlignment="1">
      <alignment vertical="top"/>
    </xf>
    <xf numFmtId="0" fontId="39" fillId="10" borderId="2" xfId="0" applyFont="1" applyFill="1" applyBorder="1" applyAlignment="1">
      <alignment vertical="center"/>
    </xf>
    <xf numFmtId="0" fontId="51" fillId="7" borderId="40" xfId="0" applyFont="1" applyFill="1" applyBorder="1"/>
    <xf numFmtId="0" fontId="17" fillId="10" borderId="7" xfId="0" applyFont="1" applyFill="1" applyBorder="1"/>
    <xf numFmtId="0" fontId="17" fillId="10" borderId="9" xfId="0" applyFont="1" applyFill="1" applyBorder="1"/>
    <xf numFmtId="0" fontId="17" fillId="10" borderId="8" xfId="0" applyFont="1" applyFill="1" applyBorder="1"/>
    <xf numFmtId="0" fontId="17" fillId="10" borderId="2" xfId="0" applyFont="1" applyFill="1" applyBorder="1"/>
    <xf numFmtId="170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wrapText="1" indent="1"/>
    </xf>
    <xf numFmtId="0" fontId="18" fillId="7" borderId="1" xfId="0" applyFont="1" applyFill="1" applyBorder="1" applyAlignment="1">
      <alignment horizontal="right"/>
    </xf>
    <xf numFmtId="0" fontId="18" fillId="7" borderId="23" xfId="0" applyFont="1" applyFill="1" applyBorder="1" applyAlignment="1">
      <alignment horizontal="center"/>
    </xf>
    <xf numFmtId="0" fontId="18" fillId="7" borderId="34" xfId="0" applyFont="1" applyFill="1" applyBorder="1" applyAlignment="1">
      <alignment horizontal="right"/>
    </xf>
    <xf numFmtId="0" fontId="17" fillId="7" borderId="9" xfId="0" applyFont="1" applyFill="1" applyBorder="1"/>
    <xf numFmtId="0" fontId="54" fillId="8" borderId="0" xfId="0" applyFont="1" applyFill="1"/>
    <xf numFmtId="0" fontId="55" fillId="8" borderId="0" xfId="0" applyFont="1" applyFill="1"/>
    <xf numFmtId="0" fontId="33" fillId="10" borderId="0" xfId="0" applyFont="1" applyFill="1" applyAlignment="1">
      <alignment horizontal="left" indent="2"/>
    </xf>
    <xf numFmtId="0" fontId="23" fillId="10" borderId="0" xfId="0" applyFont="1" applyFill="1" applyAlignment="1">
      <alignment horizontal="left" indent="1"/>
    </xf>
    <xf numFmtId="0" fontId="23" fillId="10" borderId="0" xfId="0" applyFont="1" applyFill="1" applyAlignment="1">
      <alignment horizontal="right"/>
    </xf>
    <xf numFmtId="0" fontId="20" fillId="9" borderId="14" xfId="1" applyFont="1" applyFill="1" applyBorder="1" applyAlignment="1">
      <alignment horizontal="center"/>
    </xf>
    <xf numFmtId="0" fontId="20" fillId="9" borderId="13" xfId="1" applyFont="1" applyFill="1" applyBorder="1" applyAlignment="1">
      <alignment horizontal="center"/>
    </xf>
    <xf numFmtId="0" fontId="17" fillId="6" borderId="13" xfId="0" applyFont="1" applyFill="1" applyBorder="1" applyAlignment="1">
      <alignment horizontal="right" indent="2"/>
    </xf>
    <xf numFmtId="0" fontId="17" fillId="6" borderId="0" xfId="0" applyFont="1" applyFill="1" applyAlignment="1">
      <alignment horizontal="right" indent="2"/>
    </xf>
    <xf numFmtId="0" fontId="17" fillId="6" borderId="0" xfId="0" applyFont="1" applyFill="1" applyAlignment="1">
      <alignment horizontal="right"/>
    </xf>
    <xf numFmtId="0" fontId="17" fillId="6" borderId="9" xfId="0" applyFont="1" applyFill="1" applyBorder="1" applyAlignment="1">
      <alignment horizontal="right"/>
    </xf>
    <xf numFmtId="0" fontId="20" fillId="9" borderId="12" xfId="1" applyFont="1" applyFill="1" applyBorder="1" applyAlignment="1">
      <alignment horizontal="center"/>
    </xf>
    <xf numFmtId="0" fontId="17" fillId="6" borderId="21" xfId="0" applyFont="1" applyFill="1" applyBorder="1" applyAlignment="1">
      <alignment horizontal="right"/>
    </xf>
    <xf numFmtId="0" fontId="17" fillId="6" borderId="22" xfId="0" applyFont="1" applyFill="1" applyBorder="1" applyAlignment="1">
      <alignment horizontal="right"/>
    </xf>
    <xf numFmtId="0" fontId="17" fillId="6" borderId="15" xfId="0" applyFont="1" applyFill="1" applyBorder="1" applyAlignment="1">
      <alignment horizontal="right"/>
    </xf>
    <xf numFmtId="169" fontId="19" fillId="6" borderId="0" xfId="0" applyNumberFormat="1" applyFont="1" applyFill="1" applyAlignment="1">
      <alignment horizontal="left"/>
    </xf>
    <xf numFmtId="0" fontId="17" fillId="6" borderId="9" xfId="0" applyFont="1" applyFill="1" applyBorder="1" applyAlignment="1">
      <alignment horizontal="right" vertical="top"/>
    </xf>
    <xf numFmtId="0" fontId="23" fillId="7" borderId="28" xfId="1" applyFont="1" applyFill="1" applyBorder="1" applyAlignment="1">
      <alignment horizontal="left" vertical="center"/>
    </xf>
    <xf numFmtId="0" fontId="23" fillId="7" borderId="29" xfId="1" applyFont="1" applyFill="1" applyBorder="1" applyAlignment="1">
      <alignment horizontal="left" vertical="center"/>
    </xf>
    <xf numFmtId="0" fontId="12" fillId="9" borderId="7" xfId="8" applyFont="1" applyFill="1" applyBorder="1" applyAlignment="1">
      <alignment horizontal="center"/>
    </xf>
    <xf numFmtId="0" fontId="12" fillId="9" borderId="0" xfId="8" applyFont="1" applyFill="1" applyAlignment="1">
      <alignment horizontal="center"/>
    </xf>
    <xf numFmtId="0" fontId="12" fillId="9" borderId="9" xfId="8" applyFont="1" applyFill="1" applyBorder="1" applyAlignment="1">
      <alignment horizontal="center"/>
    </xf>
    <xf numFmtId="0" fontId="17" fillId="6" borderId="0" xfId="0" applyFont="1" applyFill="1" applyAlignment="1">
      <alignment horizontal="center"/>
    </xf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3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595959"/>
      </font>
      <fill>
        <patternFill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1" xr9:uid="{3FAAC3CA-96FA-4FDE-AC9D-0E6D80714F02}">
      <tableStyleElement type="firstRowStripe" dxfId="33"/>
    </tableStyle>
  </tableStyles>
  <colors>
    <mruColors>
      <color rgb="FF0071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342895</xdr:colOff>
      <xdr:row>0</xdr:row>
      <xdr:rowOff>57150</xdr:rowOff>
    </xdr:from>
    <xdr:to>
      <xdr:col>2</xdr:col>
      <xdr:colOff>2381244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91B09-4C5E-576B-94BC-CC471084D7D6}"/>
            </a:ext>
          </a:extLst>
        </xdr:cNvPr>
        <xdr:cNvSpPr/>
      </xdr:nvSpPr>
      <xdr:spPr>
        <a:xfrm>
          <a:off x="2476495" y="57150"/>
          <a:ext cx="2038349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</xdr:colOff>
      <xdr:row>0</xdr:row>
      <xdr:rowOff>57150</xdr:rowOff>
    </xdr:from>
    <xdr:to>
      <xdr:col>4</xdr:col>
      <xdr:colOff>114300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F46BA9-ACDC-4964-A77F-A4776E0D3A05}"/>
            </a:ext>
          </a:extLst>
        </xdr:cNvPr>
        <xdr:cNvSpPr/>
      </xdr:nvSpPr>
      <xdr:spPr>
        <a:xfrm>
          <a:off x="3228975" y="57150"/>
          <a:ext cx="1976438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785823</xdr:colOff>
      <xdr:row>0</xdr:row>
      <xdr:rowOff>57150</xdr:rowOff>
    </xdr:from>
    <xdr:to>
      <xdr:col>7</xdr:col>
      <xdr:colOff>271487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40F9E-F979-4C21-8A68-1191BCE8666C}"/>
            </a:ext>
          </a:extLst>
        </xdr:cNvPr>
        <xdr:cNvSpPr/>
      </xdr:nvSpPr>
      <xdr:spPr>
        <a:xfrm>
          <a:off x="4267211" y="57150"/>
          <a:ext cx="2328876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123829</xdr:colOff>
      <xdr:row>0</xdr:row>
      <xdr:rowOff>57150</xdr:rowOff>
    </xdr:from>
    <xdr:to>
      <xdr:col>7</xdr:col>
      <xdr:colOff>333404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A67D2F-2357-420A-BE7E-AA84E897E851}"/>
            </a:ext>
          </a:extLst>
        </xdr:cNvPr>
        <xdr:cNvSpPr/>
      </xdr:nvSpPr>
      <xdr:spPr>
        <a:xfrm>
          <a:off x="3605217" y="57150"/>
          <a:ext cx="2195537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190505</xdr:colOff>
      <xdr:row>0</xdr:row>
      <xdr:rowOff>57150</xdr:rowOff>
    </xdr:from>
    <xdr:to>
      <xdr:col>5</xdr:col>
      <xdr:colOff>295275</xdr:colOff>
      <xdr:row>1</xdr:row>
      <xdr:rowOff>109537</xdr:rowOff>
    </xdr:to>
    <xdr:sp macro="[0]!ToggleMonitoringGuard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6A5A-9EAB-45B2-B5E4-8E85379C04A4}"/>
            </a:ext>
          </a:extLst>
        </xdr:cNvPr>
        <xdr:cNvSpPr/>
      </xdr:nvSpPr>
      <xdr:spPr>
        <a:xfrm>
          <a:off x="3090868" y="57150"/>
          <a:ext cx="2305045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485777</xdr:colOff>
      <xdr:row>0</xdr:row>
      <xdr:rowOff>25400</xdr:rowOff>
    </xdr:from>
    <xdr:to>
      <xdr:col>11</xdr:col>
      <xdr:colOff>177802</xdr:colOff>
      <xdr:row>1</xdr:row>
      <xdr:rowOff>137583</xdr:rowOff>
    </xdr:to>
    <xdr:sp macro="[0]!ToggleMonitoringGuarde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DD702-4C4B-49D7-83C3-773897C456AE}"/>
            </a:ext>
          </a:extLst>
        </xdr:cNvPr>
        <xdr:cNvSpPr/>
      </xdr:nvSpPr>
      <xdr:spPr>
        <a:xfrm>
          <a:off x="5824540" y="25400"/>
          <a:ext cx="2282825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57150</xdr:rowOff>
    </xdr:from>
    <xdr:to>
      <xdr:col>2</xdr:col>
      <xdr:colOff>2381250</xdr:colOff>
      <xdr:row>1</xdr:row>
      <xdr:rowOff>169333</xdr:rowOff>
    </xdr:to>
    <xdr:sp macro="[0]!StageOrder.Stag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C48072-0911-448F-8F46-7FB5B4F4E7FA}"/>
            </a:ext>
          </a:extLst>
        </xdr:cNvPr>
        <xdr:cNvSpPr/>
      </xdr:nvSpPr>
      <xdr:spPr>
        <a:xfrm>
          <a:off x="2271712" y="57150"/>
          <a:ext cx="2024063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Stage Order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D39"/>
  <sheetViews>
    <sheetView showGridLines="0" tabSelected="1" workbookViewId="0">
      <selection activeCell="A2" sqref="A2"/>
    </sheetView>
  </sheetViews>
  <sheetFormatPr defaultRowHeight="15.4" x14ac:dyDescent="0.55000000000000004"/>
  <cols>
    <col min="1" max="1" width="10.265625" style="5" customWidth="1"/>
    <col min="2" max="2" width="19.59765625" style="5" customWidth="1"/>
    <col min="3" max="3" width="69.59765625" style="5" customWidth="1"/>
    <col min="4" max="16384" width="9.06640625" style="5"/>
  </cols>
  <sheetData>
    <row r="1" spans="1:4" x14ac:dyDescent="0.55000000000000004">
      <c r="A1" s="1" t="s">
        <v>27</v>
      </c>
      <c r="B1" s="7" t="s">
        <v>579</v>
      </c>
      <c r="C1" s="278" t="e" vm="1">
        <v>#VALUE!</v>
      </c>
      <c r="D1" s="271" t="str" cm="1">
        <f t="array" aca="1" ref="D1" ca="1">IF(AND(NOW()&gt;0,ISERROR(_xlfn.TEXTSPLIT("x",","))),"This workbook needs Microsoft 365.","")</f>
        <v/>
      </c>
    </row>
    <row r="2" spans="1:4" x14ac:dyDescent="0.55000000000000004">
      <c r="A2" s="2"/>
      <c r="B2" s="8" t="s">
        <v>578</v>
      </c>
      <c r="C2" s="279"/>
      <c r="D2" s="5" t="str">
        <f ca="1">IF($D$1="","","For Excel 2013, 2016, 2019 or 2021:")</f>
        <v/>
      </c>
    </row>
    <row r="3" spans="1:4" x14ac:dyDescent="0.55000000000000004">
      <c r="A3" s="9">
        <v>1000</v>
      </c>
      <c r="B3" s="8" t="s">
        <v>451</v>
      </c>
      <c r="C3" s="6"/>
      <c r="D3" s="272" t="str">
        <f ca="1">IF($D$1="","",HYPERLINK("https://streamxls.com/workbooks","https://streamxls.com/workbooks"))</f>
        <v/>
      </c>
    </row>
    <row r="4" spans="1:4" ht="16.5" x14ac:dyDescent="0.6">
      <c r="A4" s="276" t="s">
        <v>586</v>
      </c>
      <c r="B4" s="277"/>
      <c r="C4" s="277"/>
      <c r="D4" s="272" t="str">
        <f ca="1">IF($D$1="","",HYPERLINK("#Status!A39","Steps and addresses: see row 32"))</f>
        <v/>
      </c>
    </row>
    <row r="5" spans="1:4" x14ac:dyDescent="0.55000000000000004">
      <c r="A5" s="10" t="s">
        <v>5</v>
      </c>
      <c r="B5" s="11" t="s">
        <v>7</v>
      </c>
      <c r="C5" s="12" t="s">
        <v>588</v>
      </c>
    </row>
    <row r="6" spans="1:4" x14ac:dyDescent="0.55000000000000004">
      <c r="A6" s="13" t="s">
        <v>5</v>
      </c>
      <c r="B6" s="14" t="s">
        <v>8</v>
      </c>
      <c r="C6" s="15" t="s">
        <v>697</v>
      </c>
    </row>
    <row r="7" spans="1:4" x14ac:dyDescent="0.55000000000000004">
      <c r="A7" s="13" t="s">
        <v>5</v>
      </c>
      <c r="B7" s="14" t="s">
        <v>9</v>
      </c>
      <c r="C7" s="15" t="s">
        <v>589</v>
      </c>
    </row>
    <row r="8" spans="1:4" x14ac:dyDescent="0.55000000000000004">
      <c r="A8" s="13" t="s">
        <v>5</v>
      </c>
      <c r="B8" s="14" t="s">
        <v>11</v>
      </c>
      <c r="C8" s="16" t="s">
        <v>590</v>
      </c>
    </row>
    <row r="9" spans="1:4" x14ac:dyDescent="0.55000000000000004">
      <c r="A9" s="13" t="s">
        <v>5</v>
      </c>
      <c r="B9" s="14" t="s">
        <v>6</v>
      </c>
      <c r="C9" s="16" t="s">
        <v>591</v>
      </c>
    </row>
    <row r="10" spans="1:4" x14ac:dyDescent="0.55000000000000004">
      <c r="A10" s="13" t="s">
        <v>5</v>
      </c>
      <c r="B10" s="14" t="s">
        <v>256</v>
      </c>
      <c r="C10" s="16" t="s">
        <v>580</v>
      </c>
    </row>
    <row r="11" spans="1:4" x14ac:dyDescent="0.55000000000000004">
      <c r="A11" s="13" t="s">
        <v>5</v>
      </c>
      <c r="B11" s="14" t="s">
        <v>459</v>
      </c>
      <c r="C11" s="16" t="s">
        <v>581</v>
      </c>
    </row>
    <row r="12" spans="1:4" x14ac:dyDescent="0.55000000000000004">
      <c r="A12" s="13" t="s">
        <v>5</v>
      </c>
      <c r="B12" s="14" t="s">
        <v>587</v>
      </c>
      <c r="C12" s="16" t="s">
        <v>582</v>
      </c>
    </row>
    <row r="13" spans="1:4" x14ac:dyDescent="0.55000000000000004">
      <c r="A13" s="13" t="s">
        <v>5</v>
      </c>
      <c r="B13" s="14" t="s">
        <v>452</v>
      </c>
      <c r="C13" s="16" t="s">
        <v>592</v>
      </c>
    </row>
    <row r="14" spans="1:4" x14ac:dyDescent="0.55000000000000004">
      <c r="A14" s="17"/>
      <c r="B14" s="14" t="s">
        <v>695</v>
      </c>
      <c r="C14" s="16" t="s">
        <v>593</v>
      </c>
    </row>
    <row r="15" spans="1:4" x14ac:dyDescent="0.55000000000000004">
      <c r="A15" s="17"/>
      <c r="B15" s="14" t="s">
        <v>1</v>
      </c>
      <c r="C15" s="187" t="s">
        <v>594</v>
      </c>
    </row>
    <row r="16" spans="1:4" x14ac:dyDescent="0.55000000000000004">
      <c r="A16" s="17"/>
      <c r="B16" s="14" t="s">
        <v>2</v>
      </c>
      <c r="C16" s="16" t="s">
        <v>595</v>
      </c>
    </row>
    <row r="17" spans="1:3" x14ac:dyDescent="0.55000000000000004">
      <c r="A17" s="17"/>
      <c r="B17" s="14" t="s">
        <v>3</v>
      </c>
      <c r="C17" s="265" t="s">
        <v>596</v>
      </c>
    </row>
    <row r="18" spans="1:3" x14ac:dyDescent="0.55000000000000004">
      <c r="A18" s="17"/>
      <c r="B18" s="14" t="s">
        <v>4</v>
      </c>
      <c r="C18" s="16" t="s">
        <v>597</v>
      </c>
    </row>
    <row r="19" spans="1:3" x14ac:dyDescent="0.55000000000000004">
      <c r="A19" s="17"/>
      <c r="B19" s="14" t="s">
        <v>456</v>
      </c>
      <c r="C19" s="16" t="s">
        <v>598</v>
      </c>
    </row>
    <row r="20" spans="1:3" x14ac:dyDescent="0.55000000000000004">
      <c r="A20" s="17"/>
      <c r="B20" s="14" t="s">
        <v>457</v>
      </c>
      <c r="C20" s="16" t="s">
        <v>599</v>
      </c>
    </row>
    <row r="21" spans="1:3" x14ac:dyDescent="0.55000000000000004">
      <c r="A21" s="17"/>
      <c r="B21" s="14" t="s">
        <v>458</v>
      </c>
      <c r="C21" s="16" t="s">
        <v>600</v>
      </c>
    </row>
    <row r="22" spans="1:3" x14ac:dyDescent="0.55000000000000004">
      <c r="A22" s="17"/>
      <c r="B22" s="14" t="s">
        <v>694</v>
      </c>
      <c r="C22" s="16" t="s">
        <v>601</v>
      </c>
    </row>
    <row r="23" spans="1:3" x14ac:dyDescent="0.55000000000000004">
      <c r="A23" s="17"/>
      <c r="B23" s="14" t="s">
        <v>696</v>
      </c>
      <c r="C23" s="16" t="s">
        <v>602</v>
      </c>
    </row>
    <row r="24" spans="1:3" x14ac:dyDescent="0.55000000000000004">
      <c r="A24" s="17"/>
      <c r="B24" s="14" t="s">
        <v>453</v>
      </c>
      <c r="C24" s="16" t="s">
        <v>603</v>
      </c>
    </row>
    <row r="25" spans="1:3" x14ac:dyDescent="0.55000000000000004">
      <c r="A25" s="17"/>
      <c r="B25" s="14" t="s">
        <v>454</v>
      </c>
      <c r="C25" s="266" t="s">
        <v>604</v>
      </c>
    </row>
    <row r="26" spans="1:3" x14ac:dyDescent="0.55000000000000004">
      <c r="A26" s="17"/>
      <c r="B26" s="14" t="s">
        <v>455</v>
      </c>
      <c r="C26" s="16" t="s">
        <v>605</v>
      </c>
    </row>
    <row r="27" spans="1:3" x14ac:dyDescent="0.55000000000000004">
      <c r="A27" s="17"/>
      <c r="B27" s="14" t="s">
        <v>460</v>
      </c>
      <c r="C27" s="16" t="s">
        <v>606</v>
      </c>
    </row>
    <row r="28" spans="1:3" x14ac:dyDescent="0.55000000000000004">
      <c r="A28" s="17"/>
      <c r="B28" s="14" t="s">
        <v>463</v>
      </c>
      <c r="C28" s="16" t="s">
        <v>698</v>
      </c>
    </row>
    <row r="29" spans="1:3" x14ac:dyDescent="0.55000000000000004">
      <c r="A29" s="17"/>
      <c r="B29" s="14" t="s">
        <v>462</v>
      </c>
      <c r="C29" s="266" t="s">
        <v>699</v>
      </c>
    </row>
    <row r="30" spans="1:3" x14ac:dyDescent="0.55000000000000004">
      <c r="A30" s="17"/>
      <c r="B30" s="14" t="s">
        <v>461</v>
      </c>
      <c r="C30" s="16" t="s">
        <v>700</v>
      </c>
    </row>
    <row r="32" spans="1:3" x14ac:dyDescent="0.55000000000000004">
      <c r="A32" s="271" t="str">
        <f ca="1">IF($D$1="","","Editions for Excel 2013, 2016, 2019 or 2021. If a link does not open, copy the address in column C into your browser.")</f>
        <v/>
      </c>
    </row>
    <row r="33" spans="2:3" x14ac:dyDescent="0.55000000000000004">
      <c r="B33" s="272" t="str">
        <f ca="1">IF($D$1="","",HYPERLINK("https://streamxls.com/workbooks","Download page"))</f>
        <v/>
      </c>
      <c r="C33" s="5" t="str">
        <f ca="1">IF($D$1="","","https://streamxls.com/workbooks")</f>
        <v/>
      </c>
    </row>
    <row r="34" spans="2:3" x14ac:dyDescent="0.55000000000000004">
      <c r="B34" s="5" t="str">
        <f ca="1">IF($D$1="","","No macros (StreamXLS-NoMacros.xlsx): download it, open it, click Enable Editing.")</f>
        <v/>
      </c>
    </row>
    <row r="35" spans="2:3" x14ac:dyDescent="0.55000000000000004">
      <c r="B35" s="5" t="str">
        <f ca="1">IF($D$1="","","Signed macros (StreamXLS-Excel2016.xlsm): download and save it, but do not open it yet.")</f>
        <v/>
      </c>
    </row>
    <row r="36" spans="2:3" x14ac:dyDescent="0.55000000000000004">
      <c r="B36" s="5" t="str">
        <f ca="1">IF($D$1="","","Right-click the saved file &gt; Properties &gt; check Unblock &gt; OK.")</f>
        <v/>
      </c>
    </row>
    <row r="37" spans="2:3" x14ac:dyDescent="0.55000000000000004">
      <c r="B37" s="5" t="str">
        <f ca="1">IF($D$1="","","Then open it and click Enable Content.")</f>
        <v/>
      </c>
    </row>
    <row r="38" spans="2:3" x14ac:dyDescent="0.55000000000000004">
      <c r="B38" s="272" t="str">
        <f ca="1">IF($D$1="","",HYPERLINK("https://github.com/StreamXLS/streamxls/tree/main/examples","Both, on GitHub"))</f>
        <v/>
      </c>
      <c r="C38" s="5" t="str">
        <f ca="1">IF($D$1="","","https://github.com/StreamXLS/streamxls/tree/main/examples")</f>
        <v/>
      </c>
    </row>
    <row r="39" spans="2:3" x14ac:dyDescent="0.55000000000000004">
      <c r="B39" s="272" t="str">
        <f ca="1">IF($D$1="","",HYPERLINK("https://streamxls.com/docs","StreamXLS help"))</f>
        <v/>
      </c>
      <c r="C39" s="5" t="str">
        <f ca="1">IF($D$1="","","https://streamxls.com/docs")</f>
        <v/>
      </c>
    </row>
  </sheetData>
  <mergeCells count="2">
    <mergeCell ref="A4:C4"/>
    <mergeCell ref="C1:C2"/>
  </mergeCells>
  <conditionalFormatting sqref="A5:C30">
    <cfRule type="expression" dxfId="32" priority="1">
      <formula>ISEVEN(ROW())</formula>
    </cfRule>
  </conditionalFormatting>
  <conditionalFormatting sqref="D1:L4 A32:J39">
    <cfRule type="expression" dxfId="31" priority="3">
      <formula>$D$1&lt;&gt;""</formula>
    </cfRule>
  </conditionalFormatting>
  <pageMargins left="0.7" right="0.7" top="0.75" bottom="0.75" header="0.3" footer="0.3"/>
  <pageSetup orientation="portrait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Z284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5.4" x14ac:dyDescent="0.55000000000000004"/>
  <cols>
    <col min="1" max="1" width="30.46484375" style="3" bestFit="1" customWidth="1"/>
    <col min="2" max="26" width="19.59765625" style="3" customWidth="1"/>
    <col min="27" max="16384" width="9.06640625" style="3"/>
  </cols>
  <sheetData>
    <row r="1" spans="1:10" x14ac:dyDescent="0.55000000000000004">
      <c r="A1" s="1" t="s">
        <v>27</v>
      </c>
      <c r="B1" s="7" t="s">
        <v>579</v>
      </c>
      <c r="C1" s="280" t="e" vm="1">
        <v>#VALUE!</v>
      </c>
      <c r="D1" s="280"/>
      <c r="E1" s="280"/>
      <c r="F1" s="281"/>
    </row>
    <row r="2" spans="1:10" x14ac:dyDescent="0.55000000000000004">
      <c r="A2" s="267" t="str">
        <f>""&amp;Status!$A$2</f>
        <v/>
      </c>
      <c r="B2" s="8" t="s">
        <v>610</v>
      </c>
      <c r="C2" s="280"/>
      <c r="D2" s="280"/>
      <c r="E2" s="280"/>
      <c r="F2" s="281"/>
    </row>
    <row r="3" spans="1:10" ht="16.5" x14ac:dyDescent="0.6">
      <c r="A3" s="276" t="s">
        <v>609</v>
      </c>
      <c r="B3" s="277"/>
      <c r="C3" s="277"/>
      <c r="D3" s="277"/>
      <c r="E3" s="277"/>
      <c r="F3" s="282"/>
    </row>
    <row r="4" spans="1:10" x14ac:dyDescent="0.55000000000000004">
      <c r="A4" s="21" t="s">
        <v>24</v>
      </c>
      <c r="B4" s="32" t="s">
        <v>607</v>
      </c>
      <c r="C4" s="39"/>
      <c r="D4" s="31"/>
      <c r="E4" s="39"/>
      <c r="F4" s="39"/>
    </row>
    <row r="5" spans="1:10" x14ac:dyDescent="0.55000000000000004">
      <c r="A5" s="3" t="str" cm="1">
        <f t="array" ref="A5:A140">A149:A284</f>
        <v>AccountName</v>
      </c>
      <c r="B5" s="33" t="s">
        <v>608</v>
      </c>
      <c r="C5" s="40"/>
      <c r="D5" s="25"/>
      <c r="E5" s="40"/>
      <c r="F5" s="40"/>
      <c r="J5" s="4"/>
    </row>
    <row r="6" spans="1:10" x14ac:dyDescent="0.55000000000000004">
      <c r="A6" s="3" t="str">
        <v>OpenPositionCount</v>
      </c>
      <c r="B6" s="33"/>
      <c r="C6" s="40"/>
      <c r="D6" s="25"/>
      <c r="E6" s="40"/>
      <c r="F6" s="40"/>
      <c r="H6" s="18"/>
      <c r="J6" s="4"/>
    </row>
    <row r="7" spans="1:10" x14ac:dyDescent="0.55000000000000004">
      <c r="A7" s="3" t="str">
        <v>AccountCode</v>
      </c>
      <c r="B7" s="33"/>
      <c r="C7" s="40"/>
      <c r="D7" s="25"/>
      <c r="E7" s="40"/>
      <c r="F7" s="40"/>
      <c r="J7" s="4"/>
    </row>
    <row r="8" spans="1:10" x14ac:dyDescent="0.55000000000000004">
      <c r="A8" s="3" t="str">
        <v>AccountReady</v>
      </c>
      <c r="B8" s="33"/>
      <c r="C8" s="40"/>
      <c r="D8" s="25"/>
      <c r="E8" s="40"/>
      <c r="F8" s="40"/>
      <c r="J8" s="4"/>
    </row>
    <row r="9" spans="1:10" x14ac:dyDescent="0.55000000000000004">
      <c r="A9" s="3" t="str">
        <v>AccountType</v>
      </c>
      <c r="B9" s="33"/>
      <c r="C9" s="40"/>
      <c r="D9" s="25"/>
      <c r="E9" s="40"/>
      <c r="F9" s="40"/>
      <c r="J9" s="4"/>
    </row>
    <row r="10" spans="1:10" x14ac:dyDescent="0.55000000000000004">
      <c r="A10" s="3" t="str">
        <v>AccruedCash</v>
      </c>
      <c r="B10" s="34"/>
      <c r="C10" s="41"/>
      <c r="D10" s="26"/>
      <c r="E10" s="41"/>
      <c r="F10" s="45"/>
      <c r="J10" s="4"/>
    </row>
    <row r="11" spans="1:10" x14ac:dyDescent="0.55000000000000004">
      <c r="A11" s="3" t="str">
        <v>AccruedCash-C</v>
      </c>
      <c r="B11" s="34"/>
      <c r="C11" s="41"/>
      <c r="D11" s="26"/>
      <c r="E11" s="41"/>
      <c r="F11" s="45"/>
      <c r="J11" s="4"/>
    </row>
    <row r="12" spans="1:10" x14ac:dyDescent="0.55000000000000004">
      <c r="A12" s="3" t="str">
        <v>AccruedCash-S</v>
      </c>
      <c r="B12" s="34"/>
      <c r="C12" s="41"/>
      <c r="D12" s="26"/>
      <c r="E12" s="41"/>
      <c r="F12" s="45"/>
      <c r="J12" s="4"/>
    </row>
    <row r="13" spans="1:10" x14ac:dyDescent="0.55000000000000004">
      <c r="A13" s="3" t="str">
        <v>AccruedDividend</v>
      </c>
      <c r="B13" s="34"/>
      <c r="C13" s="41"/>
      <c r="D13" s="26"/>
      <c r="E13" s="41"/>
      <c r="F13" s="45"/>
      <c r="J13" s="4"/>
    </row>
    <row r="14" spans="1:10" x14ac:dyDescent="0.55000000000000004">
      <c r="A14" s="3" t="str">
        <v>AccruedDividend-C</v>
      </c>
      <c r="B14" s="34"/>
      <c r="C14" s="41"/>
      <c r="D14" s="26"/>
      <c r="E14" s="41"/>
      <c r="F14" s="45"/>
      <c r="J14" s="4"/>
    </row>
    <row r="15" spans="1:10" x14ac:dyDescent="0.55000000000000004">
      <c r="A15" s="3" t="str">
        <v>AccruedDividend-S</v>
      </c>
      <c r="B15" s="34"/>
      <c r="C15" s="41"/>
      <c r="D15" s="26"/>
      <c r="E15" s="41"/>
      <c r="F15" s="45"/>
      <c r="J15" s="4"/>
    </row>
    <row r="16" spans="1:10" x14ac:dyDescent="0.55000000000000004">
      <c r="A16" s="3" t="str">
        <v>AvailableFunds</v>
      </c>
      <c r="B16" s="34"/>
      <c r="C16" s="41"/>
      <c r="D16" s="26"/>
      <c r="E16" s="41"/>
      <c r="F16" s="42"/>
      <c r="J16" s="4"/>
    </row>
    <row r="17" spans="1:10" x14ac:dyDescent="0.55000000000000004">
      <c r="A17" s="3" t="str">
        <v>AvailableFunds-C</v>
      </c>
      <c r="B17" s="34"/>
      <c r="C17" s="41"/>
      <c r="D17" s="26"/>
      <c r="E17" s="41"/>
      <c r="F17" s="45"/>
      <c r="J17" s="4"/>
    </row>
    <row r="18" spans="1:10" x14ac:dyDescent="0.55000000000000004">
      <c r="A18" s="3" t="str">
        <v>AvailableFunds-S</v>
      </c>
      <c r="B18" s="34"/>
      <c r="C18" s="41"/>
      <c r="D18" s="26"/>
      <c r="E18" s="41"/>
      <c r="F18" s="45"/>
      <c r="J18" s="4"/>
    </row>
    <row r="19" spans="1:10" x14ac:dyDescent="0.55000000000000004">
      <c r="A19" s="3" t="str">
        <v>Billable</v>
      </c>
      <c r="B19" s="34"/>
      <c r="C19" s="41"/>
      <c r="D19" s="26"/>
      <c r="E19" s="41"/>
      <c r="F19" s="45"/>
      <c r="J19" s="4"/>
    </row>
    <row r="20" spans="1:10" x14ac:dyDescent="0.55000000000000004">
      <c r="A20" s="3" t="str">
        <v>Billable-C</v>
      </c>
      <c r="B20" s="34"/>
      <c r="C20" s="41"/>
      <c r="D20" s="26"/>
      <c r="E20" s="41"/>
      <c r="F20" s="45"/>
      <c r="J20" s="4"/>
    </row>
    <row r="21" spans="1:10" x14ac:dyDescent="0.55000000000000004">
      <c r="A21" s="3" t="str">
        <v>Billable-S</v>
      </c>
      <c r="B21" s="34"/>
      <c r="C21" s="41"/>
      <c r="D21" s="26"/>
      <c r="E21" s="41"/>
      <c r="F21" s="45"/>
      <c r="J21" s="4"/>
    </row>
    <row r="22" spans="1:10" x14ac:dyDescent="0.55000000000000004">
      <c r="A22" s="3" t="str">
        <v>BuyingPower</v>
      </c>
      <c r="B22" s="34"/>
      <c r="C22" s="41"/>
      <c r="D22" s="26"/>
      <c r="E22" s="41"/>
      <c r="F22" s="45"/>
      <c r="J22" s="4"/>
    </row>
    <row r="23" spans="1:10" x14ac:dyDescent="0.55000000000000004">
      <c r="A23" s="3" t="str">
        <v>CashBalance</v>
      </c>
      <c r="B23" s="35"/>
      <c r="C23" s="42"/>
      <c r="D23" s="27"/>
      <c r="E23" s="42"/>
      <c r="F23" s="45"/>
      <c r="J23" s="4"/>
    </row>
    <row r="24" spans="1:10" x14ac:dyDescent="0.55000000000000004">
      <c r="A24" s="3" t="str">
        <v>ColumnPrio-S</v>
      </c>
      <c r="B24" s="33"/>
      <c r="C24" s="40"/>
      <c r="D24" s="25"/>
      <c r="E24" s="40"/>
      <c r="F24" s="40"/>
      <c r="J24" s="4"/>
    </row>
    <row r="25" spans="1:10" x14ac:dyDescent="0.55000000000000004">
      <c r="A25" s="3" t="str">
        <v>CorporateBondValue</v>
      </c>
      <c r="B25" s="33"/>
      <c r="C25" s="40"/>
      <c r="D25" s="25"/>
      <c r="E25" s="40"/>
      <c r="F25" s="40"/>
      <c r="J25" s="4"/>
    </row>
    <row r="26" spans="1:10" x14ac:dyDescent="0.55000000000000004">
      <c r="A26" s="3" t="str">
        <v>Currency</v>
      </c>
      <c r="B26" s="33"/>
      <c r="C26" s="40"/>
      <c r="D26" s="25"/>
      <c r="E26" s="40"/>
      <c r="F26" s="40"/>
      <c r="J26" s="4"/>
    </row>
    <row r="27" spans="1:10" x14ac:dyDescent="0.55000000000000004">
      <c r="A27" s="3" t="str">
        <v>Cushion</v>
      </c>
      <c r="B27" s="36"/>
      <c r="C27" s="43"/>
      <c r="D27" s="28"/>
      <c r="E27" s="43"/>
      <c r="F27" s="43"/>
      <c r="J27" s="4"/>
    </row>
    <row r="28" spans="1:10" s="19" customFormat="1" x14ac:dyDescent="0.55000000000000004">
      <c r="A28" s="3" t="str">
        <v>DailyPNL</v>
      </c>
      <c r="B28" s="37"/>
      <c r="C28" s="44"/>
      <c r="D28" s="29"/>
      <c r="E28" s="44"/>
      <c r="F28" s="46"/>
      <c r="J28" s="4"/>
    </row>
    <row r="29" spans="1:10" x14ac:dyDescent="0.55000000000000004">
      <c r="A29" s="3" t="str">
        <v>DayTradesRemaining</v>
      </c>
      <c r="B29" s="33"/>
      <c r="C29" s="40"/>
      <c r="D29" s="25"/>
      <c r="E29" s="40"/>
      <c r="F29" s="40"/>
      <c r="J29" s="4"/>
    </row>
    <row r="30" spans="1:10" x14ac:dyDescent="0.55000000000000004">
      <c r="A30" s="3" t="str">
        <v>DayTradesRemainingT+1</v>
      </c>
      <c r="B30" s="33"/>
      <c r="C30" s="40"/>
      <c r="D30" s="25"/>
      <c r="E30" s="40"/>
      <c r="F30" s="40"/>
      <c r="J30" s="4"/>
    </row>
    <row r="31" spans="1:10" x14ac:dyDescent="0.55000000000000004">
      <c r="A31" s="3" t="str">
        <v>DayTradesRemainingT+2</v>
      </c>
      <c r="B31" s="33"/>
      <c r="C31" s="40"/>
      <c r="D31" s="25"/>
      <c r="E31" s="40"/>
      <c r="F31" s="40"/>
      <c r="J31" s="4"/>
    </row>
    <row r="32" spans="1:10" x14ac:dyDescent="0.55000000000000004">
      <c r="A32" s="3" t="str">
        <v>DayTradesRemainingT+3</v>
      </c>
      <c r="B32" s="33"/>
      <c r="C32" s="40"/>
      <c r="D32" s="25"/>
      <c r="E32" s="40"/>
      <c r="F32" s="40"/>
      <c r="J32" s="4"/>
    </row>
    <row r="33" spans="1:10" x14ac:dyDescent="0.55000000000000004">
      <c r="A33" s="3" t="str">
        <v>DayTradesRemainingT+4</v>
      </c>
      <c r="B33" s="33"/>
      <c r="C33" s="40"/>
      <c r="D33" s="25"/>
      <c r="E33" s="40"/>
      <c r="F33" s="40"/>
      <c r="J33" s="4"/>
    </row>
    <row r="34" spans="1:10" x14ac:dyDescent="0.55000000000000004">
      <c r="A34" s="3" t="str">
        <v>DayTradingStatus-S</v>
      </c>
      <c r="B34" s="47"/>
      <c r="C34" s="40"/>
      <c r="D34" s="25"/>
      <c r="E34" s="40"/>
      <c r="F34" s="40"/>
      <c r="J34" s="4"/>
    </row>
    <row r="35" spans="1:10" x14ac:dyDescent="0.55000000000000004">
      <c r="A35" s="3" t="str">
        <v>DVPEquityWithLoanValue</v>
      </c>
      <c r="B35" s="34"/>
      <c r="C35" s="41"/>
      <c r="D35" s="26"/>
      <c r="E35" s="41"/>
      <c r="F35" s="40"/>
      <c r="J35" s="4"/>
    </row>
    <row r="36" spans="1:10" x14ac:dyDescent="0.55000000000000004">
      <c r="A36" s="3" t="str">
        <v>DVPNetLiquidation</v>
      </c>
      <c r="B36" s="34"/>
      <c r="C36" s="41"/>
      <c r="D36" s="26"/>
      <c r="E36" s="41"/>
      <c r="F36" s="45"/>
      <c r="J36" s="4"/>
    </row>
    <row r="37" spans="1:10" x14ac:dyDescent="0.55000000000000004">
      <c r="A37" s="3" t="str">
        <v>EquityWithLoanValue</v>
      </c>
      <c r="B37" s="34"/>
      <c r="C37" s="41"/>
      <c r="D37" s="26"/>
      <c r="E37" s="41"/>
      <c r="F37" s="45"/>
      <c r="J37" s="4"/>
    </row>
    <row r="38" spans="1:10" x14ac:dyDescent="0.55000000000000004">
      <c r="A38" s="3" t="str">
        <v>EquityWithLoanValue-C</v>
      </c>
      <c r="B38" s="34"/>
      <c r="C38" s="41"/>
      <c r="D38" s="26"/>
      <c r="E38" s="41"/>
      <c r="F38" s="45"/>
      <c r="J38" s="4"/>
    </row>
    <row r="39" spans="1:10" x14ac:dyDescent="0.55000000000000004">
      <c r="A39" s="3" t="str">
        <v>EquityWithLoanValue-S</v>
      </c>
      <c r="B39" s="34"/>
      <c r="C39" s="41"/>
      <c r="D39" s="26"/>
      <c r="E39" s="41"/>
      <c r="F39" s="45"/>
      <c r="J39" s="4"/>
    </row>
    <row r="40" spans="1:10" x14ac:dyDescent="0.55000000000000004">
      <c r="A40" s="3" t="str">
        <v>ExcessLiquidity</v>
      </c>
      <c r="B40" s="34"/>
      <c r="C40" s="41"/>
      <c r="D40" s="26"/>
      <c r="E40" s="41"/>
      <c r="F40" s="45"/>
      <c r="J40" s="4"/>
    </row>
    <row r="41" spans="1:10" x14ac:dyDescent="0.55000000000000004">
      <c r="A41" s="3" t="str">
        <v>ExcessLiquidity-C</v>
      </c>
      <c r="B41" s="34"/>
      <c r="C41" s="41"/>
      <c r="D41" s="26"/>
      <c r="E41" s="41"/>
      <c r="F41" s="45"/>
      <c r="J41" s="4"/>
    </row>
    <row r="42" spans="1:10" x14ac:dyDescent="0.55000000000000004">
      <c r="A42" s="3" t="str">
        <v>ExcessLiquidity-S</v>
      </c>
      <c r="B42" s="34"/>
      <c r="C42" s="41"/>
      <c r="D42" s="26"/>
      <c r="E42" s="41"/>
      <c r="F42" s="45"/>
      <c r="J42" s="4"/>
    </row>
    <row r="43" spans="1:10" x14ac:dyDescent="0.55000000000000004">
      <c r="A43" s="3" t="str">
        <v>ExchangeRate</v>
      </c>
      <c r="B43" s="34"/>
      <c r="C43" s="41"/>
      <c r="D43" s="26"/>
      <c r="E43" s="41"/>
      <c r="F43" s="45"/>
      <c r="J43" s="4"/>
    </row>
    <row r="44" spans="1:10" x14ac:dyDescent="0.55000000000000004">
      <c r="A44" s="3" t="str">
        <v>FullAvailableFunds</v>
      </c>
      <c r="B44" s="34"/>
      <c r="C44" s="41"/>
      <c r="D44" s="26"/>
      <c r="E44" s="41"/>
      <c r="F44" s="45"/>
      <c r="J44" s="4"/>
    </row>
    <row r="45" spans="1:10" x14ac:dyDescent="0.55000000000000004">
      <c r="A45" s="3" t="str">
        <v>FullAvailableFunds-C</v>
      </c>
      <c r="B45" s="34"/>
      <c r="C45" s="41"/>
      <c r="D45" s="26"/>
      <c r="E45" s="41"/>
      <c r="F45" s="45"/>
      <c r="J45" s="4"/>
    </row>
    <row r="46" spans="1:10" x14ac:dyDescent="0.55000000000000004">
      <c r="A46" s="3" t="str">
        <v>FullAvailableFunds-S</v>
      </c>
      <c r="B46" s="34"/>
      <c r="C46" s="41"/>
      <c r="D46" s="26"/>
      <c r="E46" s="41"/>
      <c r="F46" s="45"/>
      <c r="J46" s="4"/>
    </row>
    <row r="47" spans="1:10" x14ac:dyDescent="0.55000000000000004">
      <c r="A47" s="3" t="str">
        <v>FullExcessLiquidity</v>
      </c>
      <c r="B47" s="34"/>
      <c r="C47" s="41"/>
      <c r="D47" s="26"/>
      <c r="E47" s="41"/>
      <c r="F47" s="45"/>
      <c r="J47" s="4"/>
    </row>
    <row r="48" spans="1:10" x14ac:dyDescent="0.55000000000000004">
      <c r="A48" s="3" t="str">
        <v>FullExcessLiquidity-C</v>
      </c>
      <c r="B48" s="34"/>
      <c r="C48" s="41"/>
      <c r="D48" s="26"/>
      <c r="E48" s="41"/>
      <c r="F48" s="45"/>
      <c r="J48" s="4"/>
    </row>
    <row r="49" spans="1:10" x14ac:dyDescent="0.55000000000000004">
      <c r="A49" s="3" t="str">
        <v>FullExcessLiquidity-S</v>
      </c>
      <c r="B49" s="34"/>
      <c r="C49" s="41"/>
      <c r="D49" s="26"/>
      <c r="E49" s="41"/>
      <c r="F49" s="45"/>
      <c r="J49" s="4"/>
    </row>
    <row r="50" spans="1:10" x14ac:dyDescent="0.55000000000000004">
      <c r="A50" s="3" t="str">
        <v>FullInitMarginReq</v>
      </c>
      <c r="B50" s="34"/>
      <c r="C50" s="41"/>
      <c r="D50" s="26"/>
      <c r="E50" s="41"/>
      <c r="F50" s="45"/>
      <c r="J50" s="4"/>
    </row>
    <row r="51" spans="1:10" x14ac:dyDescent="0.55000000000000004">
      <c r="A51" s="3" t="str">
        <v>FullInitMarginReq-C</v>
      </c>
      <c r="B51" s="34"/>
      <c r="C51" s="41"/>
      <c r="D51" s="26"/>
      <c r="E51" s="41"/>
      <c r="F51" s="45"/>
      <c r="J51" s="4"/>
    </row>
    <row r="52" spans="1:10" x14ac:dyDescent="0.55000000000000004">
      <c r="A52" s="3" t="str">
        <v>FullInitMarginReq-S</v>
      </c>
      <c r="B52" s="34"/>
      <c r="C52" s="41"/>
      <c r="D52" s="26"/>
      <c r="E52" s="41"/>
      <c r="F52" s="45"/>
      <c r="J52" s="4"/>
    </row>
    <row r="53" spans="1:10" x14ac:dyDescent="0.55000000000000004">
      <c r="A53" s="3" t="str">
        <v>FullMaintMarginReq</v>
      </c>
      <c r="B53" s="34"/>
      <c r="C53" s="41"/>
      <c r="D53" s="26"/>
      <c r="E53" s="41"/>
      <c r="F53" s="45"/>
      <c r="J53" s="4"/>
    </row>
    <row r="54" spans="1:10" x14ac:dyDescent="0.55000000000000004">
      <c r="A54" s="3" t="str">
        <v>FullMaintMarginReq-C</v>
      </c>
      <c r="B54" s="34"/>
      <c r="C54" s="41"/>
      <c r="D54" s="26"/>
      <c r="E54" s="41"/>
      <c r="F54" s="45"/>
      <c r="J54" s="4"/>
    </row>
    <row r="55" spans="1:10" x14ac:dyDescent="0.55000000000000004">
      <c r="A55" s="3" t="str">
        <v>FullMaintMarginReq-S</v>
      </c>
      <c r="B55" s="34"/>
      <c r="C55" s="41"/>
      <c r="D55" s="26"/>
      <c r="E55" s="41"/>
      <c r="F55" s="45"/>
      <c r="J55" s="4"/>
    </row>
    <row r="56" spans="1:10" x14ac:dyDescent="0.55000000000000004">
      <c r="A56" s="3" t="str">
        <v>FundValue</v>
      </c>
      <c r="B56" s="34"/>
      <c r="C56" s="41"/>
      <c r="D56" s="26"/>
      <c r="E56" s="41"/>
      <c r="F56" s="45"/>
      <c r="J56" s="4"/>
    </row>
    <row r="57" spans="1:10" x14ac:dyDescent="0.55000000000000004">
      <c r="A57" s="3" t="str">
        <v>FutureOptionValue</v>
      </c>
      <c r="B57" s="34"/>
      <c r="C57" s="41"/>
      <c r="D57" s="26"/>
      <c r="E57" s="41"/>
      <c r="F57" s="45"/>
      <c r="J57" s="4"/>
    </row>
    <row r="58" spans="1:10" x14ac:dyDescent="0.55000000000000004">
      <c r="A58" s="3" t="str">
        <v>FuturesPNL</v>
      </c>
      <c r="B58" s="34"/>
      <c r="C58" s="41"/>
      <c r="D58" s="26"/>
      <c r="E58" s="41"/>
      <c r="F58" s="45"/>
      <c r="J58" s="4"/>
    </row>
    <row r="59" spans="1:10" x14ac:dyDescent="0.55000000000000004">
      <c r="A59" s="3" t="str">
        <v>FxCashBalance</v>
      </c>
      <c r="B59" s="34"/>
      <c r="C59" s="41"/>
      <c r="D59" s="26"/>
      <c r="E59" s="41"/>
      <c r="F59" s="45"/>
      <c r="J59" s="4"/>
    </row>
    <row r="60" spans="1:10" x14ac:dyDescent="0.55000000000000004">
      <c r="A60" s="3" t="str">
        <v>GrossPositionValue</v>
      </c>
      <c r="B60" s="34"/>
      <c r="C60" s="41"/>
      <c r="D60" s="26"/>
      <c r="E60" s="41"/>
      <c r="F60" s="45"/>
      <c r="J60" s="4"/>
    </row>
    <row r="61" spans="1:10" x14ac:dyDescent="0.55000000000000004">
      <c r="A61" s="3" t="str">
        <v>GrossPositionValue-S</v>
      </c>
      <c r="B61" s="34"/>
      <c r="C61" s="41"/>
      <c r="D61" s="26"/>
      <c r="E61" s="41"/>
      <c r="F61" s="45"/>
      <c r="J61" s="4"/>
    </row>
    <row r="62" spans="1:10" x14ac:dyDescent="0.55000000000000004">
      <c r="A62" s="3" t="str">
        <v>Guarantee</v>
      </c>
      <c r="B62" s="34"/>
      <c r="C62" s="41"/>
      <c r="D62" s="26"/>
      <c r="E62" s="41"/>
      <c r="F62" s="45"/>
      <c r="J62" s="4"/>
    </row>
    <row r="63" spans="1:10" x14ac:dyDescent="0.55000000000000004">
      <c r="A63" s="3" t="str">
        <v>Guarantee-S</v>
      </c>
      <c r="B63" s="34"/>
      <c r="C63" s="41"/>
      <c r="D63" s="26"/>
      <c r="E63" s="41"/>
      <c r="F63" s="40"/>
      <c r="J63" s="4"/>
    </row>
    <row r="64" spans="1:10" x14ac:dyDescent="0.55000000000000004">
      <c r="A64" s="3" t="str">
        <v>HighestSeverity</v>
      </c>
      <c r="B64" s="38"/>
      <c r="C64" s="45"/>
      <c r="D64" s="30"/>
      <c r="E64" s="45"/>
      <c r="F64" s="45"/>
      <c r="J64" s="4"/>
    </row>
    <row r="65" spans="1:10" x14ac:dyDescent="0.55000000000000004">
      <c r="A65" s="3" t="str">
        <v>IncentiveCoupons</v>
      </c>
      <c r="B65" s="34"/>
      <c r="C65" s="41"/>
      <c r="D65" s="26"/>
      <c r="E65" s="41"/>
      <c r="F65" s="45"/>
      <c r="J65" s="4"/>
    </row>
    <row r="66" spans="1:10" x14ac:dyDescent="0.55000000000000004">
      <c r="A66" s="3" t="str">
        <v>IncentiveCoupons-S</v>
      </c>
      <c r="B66" s="34"/>
      <c r="C66" s="41"/>
      <c r="D66" s="26"/>
      <c r="E66" s="41"/>
      <c r="F66" s="45"/>
      <c r="J66" s="4"/>
    </row>
    <row r="67" spans="1:10" x14ac:dyDescent="0.55000000000000004">
      <c r="A67" s="3" t="str">
        <v>IndianStockHaircut</v>
      </c>
      <c r="B67" s="34"/>
      <c r="C67" s="41"/>
      <c r="D67" s="26"/>
      <c r="E67" s="41"/>
      <c r="F67" s="45"/>
      <c r="J67" s="4"/>
    </row>
    <row r="68" spans="1:10" x14ac:dyDescent="0.55000000000000004">
      <c r="A68" s="3" t="str">
        <v>IndianStockHaircut-S</v>
      </c>
      <c r="B68" s="34"/>
      <c r="C68" s="41"/>
      <c r="D68" s="26"/>
      <c r="E68" s="41"/>
      <c r="F68" s="45"/>
      <c r="J68" s="4"/>
    </row>
    <row r="69" spans="1:10" x14ac:dyDescent="0.55000000000000004">
      <c r="A69" s="3" t="str">
        <v>InitMarginReq</v>
      </c>
      <c r="B69" s="34"/>
      <c r="C69" s="41"/>
      <c r="D69" s="26"/>
      <c r="E69" s="41"/>
      <c r="F69" s="45"/>
      <c r="J69" s="4"/>
    </row>
    <row r="70" spans="1:10" x14ac:dyDescent="0.55000000000000004">
      <c r="A70" s="3" t="str">
        <v>InitMarginReq-C</v>
      </c>
      <c r="B70" s="34"/>
      <c r="C70" s="41"/>
      <c r="D70" s="26"/>
      <c r="E70" s="41"/>
      <c r="F70" s="45"/>
      <c r="J70" s="4"/>
    </row>
    <row r="71" spans="1:10" x14ac:dyDescent="0.55000000000000004">
      <c r="A71" s="3" t="str">
        <v>InitMarginReq-S</v>
      </c>
      <c r="B71" s="34"/>
      <c r="C71" s="41"/>
      <c r="D71" s="26"/>
      <c r="E71" s="41"/>
      <c r="F71" s="45"/>
      <c r="J71" s="4"/>
    </row>
    <row r="72" spans="1:10" x14ac:dyDescent="0.55000000000000004">
      <c r="A72" s="3" t="str">
        <v>IssuerOptionValue</v>
      </c>
      <c r="B72" s="34"/>
      <c r="C72" s="41"/>
      <c r="D72" s="26"/>
      <c r="E72" s="41"/>
      <c r="F72" s="40"/>
      <c r="J72" s="4"/>
    </row>
    <row r="73" spans="1:10" x14ac:dyDescent="0.55000000000000004">
      <c r="A73" s="3" t="str">
        <v>Leverage</v>
      </c>
      <c r="B73" s="48"/>
      <c r="C73" s="49"/>
      <c r="D73" s="50"/>
      <c r="E73" s="49"/>
      <c r="F73" s="40"/>
      <c r="J73" s="4"/>
    </row>
    <row r="74" spans="1:10" x14ac:dyDescent="0.55000000000000004">
      <c r="A74" s="3" t="str">
        <v>Leverage-S</v>
      </c>
      <c r="B74" s="48"/>
      <c r="C74" s="49"/>
      <c r="D74" s="50"/>
      <c r="E74" s="49"/>
      <c r="F74" s="45"/>
      <c r="J74" s="4"/>
    </row>
    <row r="75" spans="1:10" x14ac:dyDescent="0.55000000000000004">
      <c r="A75" s="3" t="str">
        <v>LookAheadAvailableFunds</v>
      </c>
      <c r="B75" s="34"/>
      <c r="C75" s="41"/>
      <c r="D75" s="26"/>
      <c r="E75" s="41"/>
      <c r="F75" s="45"/>
      <c r="J75" s="4"/>
    </row>
    <row r="76" spans="1:10" x14ac:dyDescent="0.55000000000000004">
      <c r="A76" s="3" t="str">
        <v>LookAheadAvailableFunds-C</v>
      </c>
      <c r="B76" s="34"/>
      <c r="C76" s="41"/>
      <c r="D76" s="26"/>
      <c r="E76" s="41"/>
      <c r="F76" s="45"/>
      <c r="J76" s="4"/>
    </row>
    <row r="77" spans="1:10" x14ac:dyDescent="0.55000000000000004">
      <c r="A77" s="3" t="str">
        <v>LookAheadAvailableFunds-S</v>
      </c>
      <c r="B77" s="34"/>
      <c r="C77" s="41"/>
      <c r="D77" s="26"/>
      <c r="E77" s="41"/>
      <c r="F77" s="45"/>
      <c r="J77" s="4"/>
    </row>
    <row r="78" spans="1:10" x14ac:dyDescent="0.55000000000000004">
      <c r="A78" s="3" t="str">
        <v>LookAheadExcessLiquidity</v>
      </c>
      <c r="B78" s="34"/>
      <c r="C78" s="41"/>
      <c r="D78" s="26"/>
      <c r="E78" s="41"/>
      <c r="F78" s="45"/>
      <c r="J78" s="4"/>
    </row>
    <row r="79" spans="1:10" x14ac:dyDescent="0.55000000000000004">
      <c r="A79" s="3" t="str">
        <v>LookAheadExcessLiquidity-C</v>
      </c>
      <c r="B79" s="34"/>
      <c r="C79" s="41"/>
      <c r="D79" s="26"/>
      <c r="E79" s="41"/>
      <c r="F79" s="45"/>
      <c r="J79" s="4"/>
    </row>
    <row r="80" spans="1:10" x14ac:dyDescent="0.55000000000000004">
      <c r="A80" s="3" t="str">
        <v>LookAheadExcessLiquidity-S</v>
      </c>
      <c r="B80" s="34"/>
      <c r="C80" s="41"/>
      <c r="D80" s="26"/>
      <c r="E80" s="41"/>
      <c r="F80" s="45"/>
      <c r="J80" s="4"/>
    </row>
    <row r="81" spans="1:10" x14ac:dyDescent="0.55000000000000004">
      <c r="A81" s="3" t="str">
        <v>LookAheadInitMarginReq</v>
      </c>
      <c r="B81" s="34"/>
      <c r="C81" s="41"/>
      <c r="D81" s="26"/>
      <c r="E81" s="41"/>
      <c r="F81" s="45"/>
      <c r="J81" s="4"/>
    </row>
    <row r="82" spans="1:10" x14ac:dyDescent="0.55000000000000004">
      <c r="A82" s="3" t="str">
        <v>LookAheadInitMarginReq-C</v>
      </c>
      <c r="B82" s="34"/>
      <c r="C82" s="41"/>
      <c r="D82" s="26"/>
      <c r="E82" s="41"/>
      <c r="F82" s="45"/>
      <c r="J82" s="4"/>
    </row>
    <row r="83" spans="1:10" x14ac:dyDescent="0.55000000000000004">
      <c r="A83" s="3" t="str">
        <v>LookAheadInitMarginReq-S</v>
      </c>
      <c r="B83" s="34"/>
      <c r="C83" s="41"/>
      <c r="D83" s="26"/>
      <c r="E83" s="41"/>
      <c r="F83" s="45"/>
      <c r="J83" s="4"/>
    </row>
    <row r="84" spans="1:10" x14ac:dyDescent="0.55000000000000004">
      <c r="A84" s="3" t="str">
        <v>LookAheadMaintMarginReq</v>
      </c>
      <c r="B84" s="34"/>
      <c r="C84" s="41"/>
      <c r="D84" s="26"/>
      <c r="E84" s="41"/>
      <c r="F84" s="45"/>
      <c r="J84" s="4"/>
    </row>
    <row r="85" spans="1:10" x14ac:dyDescent="0.55000000000000004">
      <c r="A85" s="3" t="str">
        <v>LookAheadMaintMarginReq-C</v>
      </c>
      <c r="B85" s="34"/>
      <c r="C85" s="41"/>
      <c r="D85" s="26"/>
      <c r="E85" s="41"/>
      <c r="F85" s="45"/>
      <c r="J85" s="4"/>
    </row>
    <row r="86" spans="1:10" x14ac:dyDescent="0.55000000000000004">
      <c r="A86" s="3" t="str">
        <v>LookAheadMaintMarginReq-S</v>
      </c>
      <c r="B86" s="34"/>
      <c r="C86" s="41"/>
      <c r="D86" s="26"/>
      <c r="E86" s="41"/>
      <c r="F86" s="45"/>
      <c r="J86" s="4"/>
    </row>
    <row r="87" spans="1:10" x14ac:dyDescent="0.55000000000000004">
      <c r="A87" s="3" t="str">
        <v>LookAheadNextChange</v>
      </c>
      <c r="B87" s="33"/>
      <c r="C87" s="40"/>
      <c r="D87" s="25"/>
      <c r="E87" s="40"/>
      <c r="F87" s="40"/>
      <c r="J87" s="4"/>
    </row>
    <row r="88" spans="1:10" x14ac:dyDescent="0.55000000000000004">
      <c r="A88" s="3" t="str">
        <v>MaintMarginReq</v>
      </c>
      <c r="B88" s="34"/>
      <c r="C88" s="41"/>
      <c r="D88" s="26"/>
      <c r="E88" s="41"/>
      <c r="F88" s="45"/>
      <c r="J88" s="4"/>
    </row>
    <row r="89" spans="1:10" x14ac:dyDescent="0.55000000000000004">
      <c r="A89" s="3" t="str">
        <v>MaintMarginReq-C</v>
      </c>
      <c r="B89" s="34"/>
      <c r="C89" s="41"/>
      <c r="D89" s="26"/>
      <c r="E89" s="41"/>
      <c r="F89" s="45"/>
      <c r="J89" s="4"/>
    </row>
    <row r="90" spans="1:10" x14ac:dyDescent="0.55000000000000004">
      <c r="A90" s="3" t="str">
        <v>MaintMarginReq-S</v>
      </c>
      <c r="B90" s="34"/>
      <c r="C90" s="41"/>
      <c r="D90" s="26"/>
      <c r="E90" s="41"/>
      <c r="F90" s="45"/>
      <c r="J90" s="4"/>
    </row>
    <row r="91" spans="1:10" x14ac:dyDescent="0.55000000000000004">
      <c r="A91" s="3" t="str">
        <v>MoneyMarketFundValue</v>
      </c>
      <c r="B91" s="34"/>
      <c r="C91" s="41"/>
      <c r="D91" s="26"/>
      <c r="E91" s="41"/>
      <c r="F91" s="45"/>
      <c r="J91" s="4"/>
    </row>
    <row r="92" spans="1:10" x14ac:dyDescent="0.55000000000000004">
      <c r="A92" s="3" t="str">
        <v>MutualFundValue</v>
      </c>
      <c r="B92" s="34"/>
      <c r="C92" s="41"/>
      <c r="D92" s="26"/>
      <c r="E92" s="41"/>
      <c r="F92" s="45"/>
      <c r="J92" s="4"/>
    </row>
    <row r="93" spans="1:10" x14ac:dyDescent="0.55000000000000004">
      <c r="A93" s="3" t="str">
        <v>NetDividend</v>
      </c>
      <c r="B93" s="34"/>
      <c r="C93" s="41"/>
      <c r="D93" s="26"/>
      <c r="E93" s="41"/>
      <c r="F93" s="45"/>
      <c r="J93" s="4"/>
    </row>
    <row r="94" spans="1:10" x14ac:dyDescent="0.55000000000000004">
      <c r="A94" s="3" t="str">
        <v>NetLiquidation</v>
      </c>
      <c r="B94" s="34"/>
      <c r="C94" s="41"/>
      <c r="D94" s="26"/>
      <c r="E94" s="41"/>
      <c r="F94" s="45"/>
      <c r="J94" s="4"/>
    </row>
    <row r="95" spans="1:10" x14ac:dyDescent="0.55000000000000004">
      <c r="A95" s="3" t="str">
        <v>NetLiquidationByCurrency</v>
      </c>
      <c r="B95" s="34"/>
      <c r="C95" s="41"/>
      <c r="D95" s="26"/>
      <c r="E95" s="41"/>
      <c r="F95" s="45"/>
      <c r="J95" s="4"/>
    </row>
    <row r="96" spans="1:10" x14ac:dyDescent="0.55000000000000004">
      <c r="A96" s="3" t="str">
        <v>NetLiquidation-C</v>
      </c>
      <c r="B96" s="34"/>
      <c r="C96" s="41"/>
      <c r="D96" s="26"/>
      <c r="E96" s="41"/>
      <c r="F96" s="45"/>
      <c r="J96" s="4"/>
    </row>
    <row r="97" spans="1:10" x14ac:dyDescent="0.55000000000000004">
      <c r="A97" s="3" t="str">
        <v>NetLiquidation-S</v>
      </c>
      <c r="B97" s="34"/>
      <c r="C97" s="41"/>
      <c r="D97" s="26"/>
      <c r="E97" s="41"/>
      <c r="F97" s="45"/>
      <c r="J97" s="4"/>
    </row>
    <row r="98" spans="1:10" x14ac:dyDescent="0.55000000000000004">
      <c r="A98" s="3" t="str">
        <v>NetLiquidationUncertainty</v>
      </c>
      <c r="B98" s="34"/>
      <c r="C98" s="41"/>
      <c r="D98" s="26"/>
      <c r="E98" s="41"/>
      <c r="F98" s="40"/>
      <c r="J98" s="4"/>
    </row>
    <row r="99" spans="1:10" x14ac:dyDescent="0.55000000000000004">
      <c r="A99" s="3" t="str">
        <v>NLVAndMarginInReview</v>
      </c>
      <c r="B99" s="38"/>
      <c r="C99" s="45"/>
      <c r="D99" s="30"/>
      <c r="E99" s="45"/>
      <c r="F99" s="45"/>
      <c r="J99" s="4"/>
    </row>
    <row r="100" spans="1:10" x14ac:dyDescent="0.55000000000000004">
      <c r="A100" s="3" t="str">
        <v>OptionMarketValue</v>
      </c>
      <c r="B100" s="34"/>
      <c r="C100" s="41"/>
      <c r="D100" s="26"/>
      <c r="E100" s="41"/>
      <c r="F100" s="45"/>
      <c r="J100" s="4"/>
    </row>
    <row r="101" spans="1:10" x14ac:dyDescent="0.55000000000000004">
      <c r="A101" s="3" t="str">
        <v>PASharesValue</v>
      </c>
      <c r="B101" s="34"/>
      <c r="C101" s="41"/>
      <c r="D101" s="26"/>
      <c r="E101" s="41"/>
      <c r="F101" s="45"/>
      <c r="J101" s="4"/>
    </row>
    <row r="102" spans="1:10" x14ac:dyDescent="0.55000000000000004">
      <c r="A102" s="3" t="str">
        <v>PASharesValue-C</v>
      </c>
      <c r="B102" s="34"/>
      <c r="C102" s="41"/>
      <c r="D102" s="26"/>
      <c r="E102" s="41"/>
      <c r="F102" s="45"/>
      <c r="J102" s="4"/>
    </row>
    <row r="103" spans="1:10" x14ac:dyDescent="0.55000000000000004">
      <c r="A103" s="3" t="str">
        <v>PASharesValue-S</v>
      </c>
      <c r="B103" s="34"/>
      <c r="C103" s="41"/>
      <c r="D103" s="26"/>
      <c r="E103" s="41"/>
      <c r="F103" s="45"/>
      <c r="J103" s="4"/>
    </row>
    <row r="104" spans="1:10" x14ac:dyDescent="0.55000000000000004">
      <c r="A104" s="3" t="str">
        <v>PhysicalCertificateValue</v>
      </c>
      <c r="B104" s="34"/>
      <c r="C104" s="41"/>
      <c r="D104" s="26"/>
      <c r="E104" s="41"/>
      <c r="F104" s="45"/>
      <c r="J104" s="4"/>
    </row>
    <row r="105" spans="1:10" x14ac:dyDescent="0.55000000000000004">
      <c r="A105" s="3" t="str">
        <v>PhysicalCertificateValue-S</v>
      </c>
      <c r="B105" s="34"/>
      <c r="C105" s="41"/>
      <c r="D105" s="26"/>
      <c r="E105" s="41"/>
      <c r="F105" s="45"/>
      <c r="J105" s="4"/>
    </row>
    <row r="106" spans="1:10" x14ac:dyDescent="0.55000000000000004">
      <c r="A106" s="3" t="str">
        <v>PostExpirationExcess</v>
      </c>
      <c r="B106" s="34"/>
      <c r="C106" s="41"/>
      <c r="D106" s="26"/>
      <c r="E106" s="41"/>
      <c r="F106" s="45"/>
      <c r="J106" s="4"/>
    </row>
    <row r="107" spans="1:10" x14ac:dyDescent="0.55000000000000004">
      <c r="A107" s="3" t="str">
        <v>PostExpirationExcess-C</v>
      </c>
      <c r="B107" s="34"/>
      <c r="C107" s="41"/>
      <c r="D107" s="26"/>
      <c r="E107" s="41"/>
      <c r="F107" s="45"/>
      <c r="J107" s="4"/>
    </row>
    <row r="108" spans="1:10" x14ac:dyDescent="0.55000000000000004">
      <c r="A108" s="3" t="str">
        <v>PostExpirationExcess-S</v>
      </c>
      <c r="B108" s="34"/>
      <c r="C108" s="41"/>
      <c r="D108" s="26"/>
      <c r="E108" s="41"/>
      <c r="F108" s="45"/>
      <c r="J108" s="4"/>
    </row>
    <row r="109" spans="1:10" x14ac:dyDescent="0.55000000000000004">
      <c r="A109" s="3" t="str">
        <v>PostExpirationMargin</v>
      </c>
      <c r="B109" s="34"/>
      <c r="C109" s="41"/>
      <c r="D109" s="26"/>
      <c r="E109" s="41"/>
      <c r="F109" s="45"/>
      <c r="J109" s="4"/>
    </row>
    <row r="110" spans="1:10" x14ac:dyDescent="0.55000000000000004">
      <c r="A110" s="3" t="str">
        <v>PostExpirationMargin-C</v>
      </c>
      <c r="B110" s="34"/>
      <c r="C110" s="41"/>
      <c r="D110" s="26"/>
      <c r="E110" s="41"/>
      <c r="F110" s="45"/>
      <c r="J110" s="4"/>
    </row>
    <row r="111" spans="1:10" x14ac:dyDescent="0.55000000000000004">
      <c r="A111" s="3" t="str">
        <v>PostExpirationMargin-S</v>
      </c>
      <c r="B111" s="34"/>
      <c r="C111" s="41"/>
      <c r="D111" s="26"/>
      <c r="E111" s="41"/>
      <c r="F111" s="45"/>
      <c r="J111" s="4"/>
    </row>
    <row r="112" spans="1:10" x14ac:dyDescent="0.55000000000000004">
      <c r="A112" s="3" t="str">
        <v>PreviousDayEquityWithLoanValue</v>
      </c>
      <c r="B112" s="34"/>
      <c r="C112" s="41"/>
      <c r="D112" s="26"/>
      <c r="E112" s="41"/>
      <c r="F112" s="45"/>
      <c r="J112" s="4"/>
    </row>
    <row r="113" spans="1:10" x14ac:dyDescent="0.55000000000000004">
      <c r="A113" s="3" t="str">
        <v>PreviousDayEquityWithLoanValue-S</v>
      </c>
      <c r="B113" s="34"/>
      <c r="C113" s="41"/>
      <c r="D113" s="26"/>
      <c r="E113" s="41"/>
      <c r="F113" s="45"/>
      <c r="J113" s="4"/>
    </row>
    <row r="114" spans="1:10" x14ac:dyDescent="0.55000000000000004">
      <c r="A114" s="3" t="str">
        <v>PreviousEquityWithLoanValue</v>
      </c>
      <c r="B114" s="34"/>
      <c r="C114" s="41"/>
      <c r="D114" s="26"/>
      <c r="E114" s="41"/>
      <c r="F114" s="40"/>
      <c r="J114" s="4"/>
    </row>
    <row r="115" spans="1:10" x14ac:dyDescent="0.55000000000000004">
      <c r="A115" s="3" t="str">
        <v>RealCurrency</v>
      </c>
      <c r="B115" s="34"/>
      <c r="C115" s="41"/>
      <c r="D115" s="26"/>
      <c r="E115" s="41"/>
      <c r="F115" s="45"/>
      <c r="J115" s="4"/>
    </row>
    <row r="116" spans="1:10" x14ac:dyDescent="0.55000000000000004">
      <c r="A116" s="3" t="str">
        <v>RealizedPnL</v>
      </c>
      <c r="B116" s="34"/>
      <c r="C116" s="41"/>
      <c r="D116" s="26"/>
      <c r="E116" s="41"/>
      <c r="F116" s="45"/>
      <c r="J116" s="4"/>
    </row>
    <row r="117" spans="1:10" x14ac:dyDescent="0.55000000000000004">
      <c r="A117" s="3" t="str">
        <v>RegTEquity</v>
      </c>
      <c r="B117" s="34"/>
      <c r="C117" s="41"/>
      <c r="D117" s="26"/>
      <c r="E117" s="41"/>
      <c r="F117" s="45"/>
      <c r="J117" s="4"/>
    </row>
    <row r="118" spans="1:10" x14ac:dyDescent="0.55000000000000004">
      <c r="A118" s="3" t="str">
        <v>RegTEquity-S</v>
      </c>
      <c r="B118" s="34"/>
      <c r="C118" s="41"/>
      <c r="D118" s="26"/>
      <c r="E118" s="41"/>
      <c r="F118" s="45"/>
      <c r="J118" s="4"/>
    </row>
    <row r="119" spans="1:10" x14ac:dyDescent="0.55000000000000004">
      <c r="A119" s="3" t="str">
        <v>RegTMargin</v>
      </c>
      <c r="B119" s="34"/>
      <c r="C119" s="41"/>
      <c r="D119" s="26"/>
      <c r="E119" s="41"/>
      <c r="F119" s="45"/>
      <c r="J119" s="4"/>
    </row>
    <row r="120" spans="1:10" x14ac:dyDescent="0.55000000000000004">
      <c r="A120" s="3" t="str">
        <v>RegTMargin-S</v>
      </c>
      <c r="B120" s="34"/>
      <c r="C120" s="41"/>
      <c r="D120" s="26"/>
      <c r="E120" s="41"/>
      <c r="F120" s="40"/>
      <c r="J120" s="4"/>
    </row>
    <row r="121" spans="1:10" x14ac:dyDescent="0.55000000000000004">
      <c r="A121" s="3" t="str">
        <v>SegmentTitle</v>
      </c>
      <c r="B121" s="33"/>
      <c r="C121" s="40"/>
      <c r="D121" s="25"/>
      <c r="E121" s="40"/>
      <c r="F121" s="40"/>
      <c r="J121" s="4"/>
    </row>
    <row r="122" spans="1:10" x14ac:dyDescent="0.55000000000000004">
      <c r="A122" s="3" t="str">
        <v>SegmentTitle-S</v>
      </c>
      <c r="B122" s="33"/>
      <c r="C122" s="40"/>
      <c r="D122" s="25"/>
      <c r="E122" s="40"/>
      <c r="F122" s="40"/>
      <c r="J122" s="4"/>
    </row>
    <row r="123" spans="1:10" x14ac:dyDescent="0.55000000000000004">
      <c r="A123" s="3" t="str">
        <v>SettledCash</v>
      </c>
      <c r="B123" s="34"/>
      <c r="C123" s="41"/>
      <c r="D123" s="26"/>
      <c r="E123" s="41"/>
      <c r="F123" s="40"/>
      <c r="J123" s="4"/>
    </row>
    <row r="124" spans="1:10" x14ac:dyDescent="0.55000000000000004">
      <c r="A124" s="3" t="str">
        <v>SettledCashByDate</v>
      </c>
      <c r="B124" s="33"/>
      <c r="C124" s="40"/>
      <c r="D124" s="25"/>
      <c r="E124" s="40"/>
      <c r="F124" s="40"/>
      <c r="J124" s="4"/>
    </row>
    <row r="125" spans="1:10" x14ac:dyDescent="0.55000000000000004">
      <c r="A125" s="3" t="str">
        <v>SettledCashByDate-S</v>
      </c>
      <c r="B125" s="33"/>
      <c r="C125" s="40"/>
      <c r="D125" s="25"/>
      <c r="E125" s="40"/>
      <c r="F125" s="40"/>
      <c r="J125" s="4"/>
    </row>
    <row r="126" spans="1:10" x14ac:dyDescent="0.55000000000000004">
      <c r="A126" s="3" t="str">
        <v>SMA</v>
      </c>
      <c r="B126" s="34"/>
      <c r="C126" s="41"/>
      <c r="D126" s="26"/>
      <c r="E126" s="41"/>
      <c r="F126" s="45"/>
      <c r="J126" s="4"/>
    </row>
    <row r="127" spans="1:10" x14ac:dyDescent="0.55000000000000004">
      <c r="A127" s="3" t="str">
        <v>SMA-S</v>
      </c>
      <c r="B127" s="34"/>
      <c r="C127" s="41"/>
      <c r="D127" s="26"/>
      <c r="E127" s="41"/>
      <c r="F127" s="45"/>
      <c r="J127" s="4"/>
    </row>
    <row r="128" spans="1:10" x14ac:dyDescent="0.55000000000000004">
      <c r="A128" s="3" t="str">
        <v>StockMarketValue</v>
      </c>
      <c r="B128" s="34"/>
      <c r="C128" s="41"/>
      <c r="D128" s="26"/>
      <c r="E128" s="41"/>
      <c r="F128" s="45"/>
      <c r="J128" s="4"/>
    </row>
    <row r="129" spans="1:26" x14ac:dyDescent="0.55000000000000004">
      <c r="A129" s="3" t="str">
        <v>TBillValue</v>
      </c>
      <c r="B129" s="34"/>
      <c r="C129" s="41"/>
      <c r="D129" s="26"/>
      <c r="E129" s="41"/>
      <c r="F129" s="45"/>
      <c r="J129" s="4"/>
    </row>
    <row r="130" spans="1:26" x14ac:dyDescent="0.55000000000000004">
      <c r="A130" s="3" t="str">
        <v>TBondValue</v>
      </c>
      <c r="B130" s="34"/>
      <c r="C130" s="41"/>
      <c r="D130" s="26"/>
      <c r="E130" s="41"/>
      <c r="F130" s="45"/>
      <c r="J130" s="4"/>
    </row>
    <row r="131" spans="1:26" x14ac:dyDescent="0.55000000000000004">
      <c r="A131" s="3" t="str">
        <v>TotalCashBalance</v>
      </c>
      <c r="B131" s="34"/>
      <c r="C131" s="41"/>
      <c r="D131" s="26"/>
      <c r="E131" s="41"/>
      <c r="F131" s="45"/>
      <c r="J131" s="4"/>
    </row>
    <row r="132" spans="1:26" x14ac:dyDescent="0.55000000000000004">
      <c r="A132" s="3" t="str">
        <v>TotalCashValue</v>
      </c>
      <c r="B132" s="34"/>
      <c r="C132" s="41"/>
      <c r="D132" s="26"/>
      <c r="E132" s="41"/>
      <c r="F132" s="45"/>
      <c r="J132" s="4"/>
    </row>
    <row r="133" spans="1:26" x14ac:dyDescent="0.55000000000000004">
      <c r="A133" s="3" t="str">
        <v>TotalCashValue-C</v>
      </c>
      <c r="B133" s="34"/>
      <c r="C133" s="41"/>
      <c r="D133" s="26"/>
      <c r="E133" s="41"/>
      <c r="F133" s="45"/>
      <c r="J133" s="4"/>
    </row>
    <row r="134" spans="1:26" x14ac:dyDescent="0.55000000000000004">
      <c r="A134" s="3" t="str">
        <v>TotalCashValue-S</v>
      </c>
      <c r="B134" s="34"/>
      <c r="C134" s="41"/>
      <c r="D134" s="26"/>
      <c r="E134" s="41"/>
      <c r="F134" s="45"/>
      <c r="J134" s="4"/>
    </row>
    <row r="135" spans="1:26" x14ac:dyDescent="0.55000000000000004">
      <c r="A135" s="3" t="str">
        <v>TotalDebitCardPendingCharges</v>
      </c>
      <c r="B135" s="34"/>
      <c r="C135" s="41"/>
      <c r="D135" s="26"/>
      <c r="E135" s="41"/>
      <c r="F135" s="45"/>
      <c r="J135" s="4"/>
    </row>
    <row r="136" spans="1:26" x14ac:dyDescent="0.55000000000000004">
      <c r="A136" s="3" t="str">
        <v>TotalDebitCardPendingCharges-S</v>
      </c>
      <c r="B136" s="34"/>
      <c r="C136" s="41"/>
      <c r="D136" s="26"/>
      <c r="E136" s="41"/>
      <c r="F136" s="40"/>
      <c r="J136" s="4"/>
    </row>
    <row r="137" spans="1:26" x14ac:dyDescent="0.55000000000000004">
      <c r="A137" s="3" t="str">
        <v>TradingType-S</v>
      </c>
      <c r="B137" s="38"/>
      <c r="C137" s="45"/>
      <c r="D137" s="30"/>
      <c r="E137" s="45"/>
      <c r="F137" s="45"/>
      <c r="J137" s="4"/>
    </row>
    <row r="138" spans="1:26" x14ac:dyDescent="0.55000000000000004">
      <c r="A138" s="3" t="str">
        <v>UnrealizedPnL</v>
      </c>
      <c r="B138" s="34"/>
      <c r="C138" s="41"/>
      <c r="D138" s="26"/>
      <c r="E138" s="41"/>
      <c r="F138" s="45"/>
      <c r="J138" s="4"/>
    </row>
    <row r="139" spans="1:26" x14ac:dyDescent="0.55000000000000004">
      <c r="A139" s="3" t="str">
        <v>WarrantValue</v>
      </c>
      <c r="B139" s="34"/>
      <c r="C139" s="41"/>
      <c r="D139" s="26"/>
      <c r="E139" s="41"/>
      <c r="F139" s="40"/>
      <c r="J139" s="4"/>
    </row>
    <row r="140" spans="1:26" x14ac:dyDescent="0.55000000000000004">
      <c r="A140" s="3" t="str">
        <v>WhatIfPMEnabled</v>
      </c>
      <c r="B140" s="33"/>
      <c r="C140" s="40"/>
      <c r="D140" s="25"/>
      <c r="E140" s="40"/>
      <c r="F140" s="40"/>
      <c r="J140" s="4"/>
    </row>
    <row r="141" spans="1:26" x14ac:dyDescent="0.55000000000000004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x14ac:dyDescent="0.55000000000000004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x14ac:dyDescent="0.55000000000000004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x14ac:dyDescent="0.55000000000000004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x14ac:dyDescent="0.55000000000000004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x14ac:dyDescent="0.55000000000000004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x14ac:dyDescent="0.55000000000000004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ht="15.75" thickBot="1" x14ac:dyDescent="0.6">
      <c r="A148" s="51" t="s">
        <v>612</v>
      </c>
      <c r="B148" s="52" t="s">
        <v>611</v>
      </c>
      <c r="C148" s="53"/>
      <c r="D148" s="53"/>
      <c r="E148" s="53"/>
      <c r="F148" s="53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x14ac:dyDescent="0.55000000000000004">
      <c r="A149" s="23" t="s">
        <v>12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x14ac:dyDescent="0.55000000000000004">
      <c r="A150" s="23" t="s">
        <v>21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x14ac:dyDescent="0.55000000000000004">
      <c r="A151" s="23" t="s">
        <v>46</v>
      </c>
      <c r="B151" s="22" t="s">
        <v>334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x14ac:dyDescent="0.55000000000000004">
      <c r="A152" s="23" t="s">
        <v>47</v>
      </c>
      <c r="B152" s="22" t="s">
        <v>335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x14ac:dyDescent="0.55000000000000004">
      <c r="A153" s="23" t="s">
        <v>13</v>
      </c>
      <c r="B153" s="22" t="s">
        <v>336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x14ac:dyDescent="0.55000000000000004">
      <c r="A154" s="23" t="s">
        <v>29</v>
      </c>
      <c r="B154" s="22" t="s">
        <v>337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x14ac:dyDescent="0.55000000000000004">
      <c r="A155" s="23" t="s">
        <v>48</v>
      </c>
      <c r="B155" s="22" t="s">
        <v>338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x14ac:dyDescent="0.55000000000000004">
      <c r="A156" s="23" t="s">
        <v>49</v>
      </c>
      <c r="B156" s="22" t="s">
        <v>339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x14ac:dyDescent="0.55000000000000004">
      <c r="A157" s="23" t="s">
        <v>50</v>
      </c>
      <c r="B157" s="22" t="s">
        <v>340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x14ac:dyDescent="0.55000000000000004">
      <c r="A158" s="23" t="s">
        <v>51</v>
      </c>
      <c r="B158" s="22" t="s">
        <v>341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spans="1:26" x14ac:dyDescent="0.55000000000000004">
      <c r="A159" s="23" t="s">
        <v>52</v>
      </c>
      <c r="B159" s="22" t="s">
        <v>342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spans="1:26" x14ac:dyDescent="0.55000000000000004">
      <c r="A160" s="23" t="s">
        <v>14</v>
      </c>
      <c r="B160" s="22" t="s">
        <v>343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spans="1:26" x14ac:dyDescent="0.55000000000000004">
      <c r="A161" s="23" t="s">
        <v>53</v>
      </c>
      <c r="B161" s="22" t="s">
        <v>344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spans="1:26" x14ac:dyDescent="0.55000000000000004">
      <c r="A162" s="23" t="s">
        <v>54</v>
      </c>
      <c r="B162" s="22" t="s">
        <v>345</v>
      </c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spans="1:26" x14ac:dyDescent="0.55000000000000004">
      <c r="A163" s="23" t="s">
        <v>55</v>
      </c>
      <c r="B163" s="22" t="s">
        <v>346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spans="1:26" x14ac:dyDescent="0.55000000000000004">
      <c r="A164" s="23" t="s">
        <v>56</v>
      </c>
      <c r="B164" s="22" t="s">
        <v>347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spans="1:26" x14ac:dyDescent="0.55000000000000004">
      <c r="A165" s="23" t="s">
        <v>57</v>
      </c>
      <c r="B165" s="22" t="s">
        <v>348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spans="1:26" x14ac:dyDescent="0.55000000000000004">
      <c r="A166" s="23" t="s">
        <v>15</v>
      </c>
      <c r="B166" s="22" t="s">
        <v>349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spans="1:26" x14ac:dyDescent="0.55000000000000004">
      <c r="A167" s="23" t="s">
        <v>58</v>
      </c>
      <c r="B167" s="22" t="s">
        <v>350</v>
      </c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spans="1:26" x14ac:dyDescent="0.55000000000000004">
      <c r="A168" s="23" t="s">
        <v>131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spans="1:26" x14ac:dyDescent="0.55000000000000004">
      <c r="A169" s="23" t="s">
        <v>59</v>
      </c>
      <c r="B169" s="22" t="s">
        <v>351</v>
      </c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spans="1:26" x14ac:dyDescent="0.55000000000000004">
      <c r="A170" s="23" t="s">
        <v>16</v>
      </c>
      <c r="B170" s="22" t="s">
        <v>352</v>
      </c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spans="1:26" x14ac:dyDescent="0.55000000000000004">
      <c r="A171" s="23" t="s">
        <v>33</v>
      </c>
      <c r="B171" s="22" t="s">
        <v>353</v>
      </c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spans="1:26" x14ac:dyDescent="0.55000000000000004">
      <c r="A172" s="23" t="s">
        <v>446</v>
      </c>
      <c r="B172" s="24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x14ac:dyDescent="0.55000000000000004">
      <c r="A173" s="23" t="s">
        <v>44</v>
      </c>
      <c r="B173" s="22" t="s">
        <v>354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x14ac:dyDescent="0.55000000000000004">
      <c r="A174" s="23" t="s">
        <v>60</v>
      </c>
      <c r="B174" s="22" t="s">
        <v>355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x14ac:dyDescent="0.55000000000000004">
      <c r="A175" s="23" t="s">
        <v>61</v>
      </c>
      <c r="B175" s="22" t="s">
        <v>356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x14ac:dyDescent="0.55000000000000004">
      <c r="A176" s="23" t="s">
        <v>62</v>
      </c>
      <c r="B176" s="22" t="s">
        <v>357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x14ac:dyDescent="0.55000000000000004">
      <c r="A177" s="23" t="s">
        <v>63</v>
      </c>
      <c r="B177" s="22" t="s">
        <v>358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x14ac:dyDescent="0.55000000000000004">
      <c r="A178" s="23" t="s">
        <v>134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x14ac:dyDescent="0.55000000000000004">
      <c r="A179" s="23" t="s">
        <v>132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x14ac:dyDescent="0.55000000000000004">
      <c r="A180" s="23" t="s">
        <v>133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x14ac:dyDescent="0.55000000000000004">
      <c r="A181" s="23" t="s">
        <v>17</v>
      </c>
      <c r="B181" s="22" t="s">
        <v>359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x14ac:dyDescent="0.55000000000000004">
      <c r="A182" s="23" t="s">
        <v>64</v>
      </c>
      <c r="B182" s="22" t="s">
        <v>360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x14ac:dyDescent="0.55000000000000004">
      <c r="A183" s="23" t="s">
        <v>65</v>
      </c>
      <c r="B183" s="22" t="s">
        <v>361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x14ac:dyDescent="0.55000000000000004">
      <c r="A184" s="23" t="s">
        <v>18</v>
      </c>
      <c r="B184" s="22" t="s">
        <v>362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x14ac:dyDescent="0.55000000000000004">
      <c r="A185" s="23" t="s">
        <v>66</v>
      </c>
      <c r="B185" s="22" t="s">
        <v>363</v>
      </c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x14ac:dyDescent="0.55000000000000004">
      <c r="A186" s="23" t="s">
        <v>67</v>
      </c>
      <c r="B186" s="22" t="s">
        <v>364</v>
      </c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x14ac:dyDescent="0.55000000000000004">
      <c r="A187" s="23" t="s">
        <v>68</v>
      </c>
      <c r="B187" s="22" t="s">
        <v>365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x14ac:dyDescent="0.55000000000000004">
      <c r="A188" s="23" t="s">
        <v>36</v>
      </c>
      <c r="B188" s="22" t="s">
        <v>366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x14ac:dyDescent="0.55000000000000004">
      <c r="A189" s="23" t="s">
        <v>69</v>
      </c>
      <c r="B189" s="22" t="s">
        <v>367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x14ac:dyDescent="0.55000000000000004">
      <c r="A190" s="23" t="s">
        <v>70</v>
      </c>
      <c r="B190" s="22" t="s">
        <v>368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spans="1:26" x14ac:dyDescent="0.55000000000000004">
      <c r="A191" s="23" t="s">
        <v>37</v>
      </c>
      <c r="B191" s="22" t="s">
        <v>369</v>
      </c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spans="1:26" x14ac:dyDescent="0.55000000000000004">
      <c r="A192" s="23" t="s">
        <v>71</v>
      </c>
      <c r="B192" s="22" t="s">
        <v>370</v>
      </c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spans="1:26" x14ac:dyDescent="0.55000000000000004">
      <c r="A193" s="23" t="s">
        <v>72</v>
      </c>
      <c r="B193" s="22" t="s">
        <v>371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spans="1:26" x14ac:dyDescent="0.55000000000000004">
      <c r="A194" s="23" t="s">
        <v>34</v>
      </c>
      <c r="B194" s="22" t="s">
        <v>372</v>
      </c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spans="1:26" x14ac:dyDescent="0.55000000000000004">
      <c r="A195" s="23" t="s">
        <v>73</v>
      </c>
      <c r="B195" s="22" t="s">
        <v>373</v>
      </c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spans="1:26" x14ac:dyDescent="0.55000000000000004">
      <c r="A196" s="23" t="s">
        <v>74</v>
      </c>
      <c r="B196" s="22" t="s">
        <v>374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spans="1:26" x14ac:dyDescent="0.55000000000000004">
      <c r="A197" s="23" t="s">
        <v>35</v>
      </c>
      <c r="B197" s="22" t="s">
        <v>375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spans="1:26" x14ac:dyDescent="0.55000000000000004">
      <c r="A198" s="23" t="s">
        <v>75</v>
      </c>
      <c r="B198" s="22" t="s">
        <v>376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spans="1:26" x14ac:dyDescent="0.55000000000000004">
      <c r="A199" s="23" t="s">
        <v>76</v>
      </c>
      <c r="B199" s="22" t="s">
        <v>377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spans="1:26" x14ac:dyDescent="0.55000000000000004">
      <c r="A200" s="23" t="s">
        <v>77</v>
      </c>
      <c r="B200" s="22" t="s">
        <v>378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spans="1:26" x14ac:dyDescent="0.55000000000000004">
      <c r="A201" s="23" t="s">
        <v>78</v>
      </c>
      <c r="B201" s="22" t="s">
        <v>379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spans="1:26" x14ac:dyDescent="0.55000000000000004">
      <c r="A202" s="23" t="s">
        <v>79</v>
      </c>
      <c r="B202" s="22" t="s">
        <v>380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spans="1:26" x14ac:dyDescent="0.55000000000000004">
      <c r="A203" s="23" t="s">
        <v>80</v>
      </c>
      <c r="B203" s="22" t="s">
        <v>381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spans="1:26" x14ac:dyDescent="0.55000000000000004">
      <c r="A204" s="23" t="s">
        <v>19</v>
      </c>
      <c r="B204" s="22" t="s">
        <v>382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spans="1:26" x14ac:dyDescent="0.55000000000000004">
      <c r="A205" s="23" t="s">
        <v>81</v>
      </c>
      <c r="B205" s="22" t="s">
        <v>383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spans="1:26" x14ac:dyDescent="0.55000000000000004">
      <c r="A206" s="23" t="s">
        <v>135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spans="1:26" x14ac:dyDescent="0.55000000000000004">
      <c r="A207" s="23" t="s">
        <v>136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spans="1:26" x14ac:dyDescent="0.55000000000000004">
      <c r="A208" s="23" t="s">
        <v>43</v>
      </c>
      <c r="B208" s="22" t="s">
        <v>384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spans="1:26" x14ac:dyDescent="0.55000000000000004">
      <c r="A209" s="23" t="s">
        <v>137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spans="1:26" x14ac:dyDescent="0.55000000000000004">
      <c r="A210" s="23" t="s">
        <v>138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spans="1:26" x14ac:dyDescent="0.55000000000000004">
      <c r="A211" s="23" t="s">
        <v>82</v>
      </c>
      <c r="B211" s="22" t="s">
        <v>385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spans="1:26" x14ac:dyDescent="0.55000000000000004">
      <c r="A212" s="23" t="s">
        <v>139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spans="1:26" x14ac:dyDescent="0.55000000000000004">
      <c r="A213" s="23" t="s">
        <v>25</v>
      </c>
      <c r="B213" s="22" t="s">
        <v>386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spans="1:26" x14ac:dyDescent="0.55000000000000004">
      <c r="A214" s="23" t="s">
        <v>83</v>
      </c>
      <c r="B214" s="22" t="s">
        <v>387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spans="1:26" x14ac:dyDescent="0.55000000000000004">
      <c r="A215" s="23" t="s">
        <v>84</v>
      </c>
      <c r="B215" s="22" t="s">
        <v>388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spans="1:26" x14ac:dyDescent="0.55000000000000004">
      <c r="A216" s="23" t="s">
        <v>85</v>
      </c>
      <c r="B216" s="22" t="s">
        <v>389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x14ac:dyDescent="0.55000000000000004">
      <c r="A217" s="23" t="s">
        <v>45</v>
      </c>
      <c r="B217" s="22" t="s">
        <v>390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x14ac:dyDescent="0.55000000000000004">
      <c r="A218" s="23" t="s">
        <v>86</v>
      </c>
      <c r="B218" s="22" t="s">
        <v>391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x14ac:dyDescent="0.55000000000000004">
      <c r="A219" s="23" t="s">
        <v>41</v>
      </c>
      <c r="B219" s="22" t="s">
        <v>392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x14ac:dyDescent="0.55000000000000004">
      <c r="A220" s="23" t="s">
        <v>87</v>
      </c>
      <c r="B220" s="22" t="s">
        <v>393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spans="1:26" x14ac:dyDescent="0.55000000000000004">
      <c r="A221" s="23" t="s">
        <v>88</v>
      </c>
      <c r="B221" s="22" t="s">
        <v>394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spans="1:26" x14ac:dyDescent="0.55000000000000004">
      <c r="A222" s="23" t="s">
        <v>42</v>
      </c>
      <c r="B222" s="22" t="s">
        <v>395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spans="1:26" x14ac:dyDescent="0.55000000000000004">
      <c r="A223" s="23" t="s">
        <v>89</v>
      </c>
      <c r="B223" s="22" t="s">
        <v>396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spans="1:26" x14ac:dyDescent="0.55000000000000004">
      <c r="A224" s="23" t="s">
        <v>90</v>
      </c>
      <c r="B224" s="22" t="s">
        <v>397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spans="1:26" x14ac:dyDescent="0.55000000000000004">
      <c r="A225" s="23" t="s">
        <v>39</v>
      </c>
      <c r="B225" s="22" t="s">
        <v>398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spans="1:26" x14ac:dyDescent="0.55000000000000004">
      <c r="A226" s="23" t="s">
        <v>91</v>
      </c>
      <c r="B226" s="22" t="s">
        <v>399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x14ac:dyDescent="0.55000000000000004">
      <c r="A227" s="23" t="s">
        <v>92</v>
      </c>
      <c r="B227" s="22" t="s">
        <v>399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x14ac:dyDescent="0.55000000000000004">
      <c r="A228" s="23" t="s">
        <v>40</v>
      </c>
      <c r="B228" s="22" t="s">
        <v>400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x14ac:dyDescent="0.55000000000000004">
      <c r="A229" s="23" t="s">
        <v>93</v>
      </c>
      <c r="B229" s="22" t="s">
        <v>401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x14ac:dyDescent="0.55000000000000004">
      <c r="A230" s="23" t="s">
        <v>94</v>
      </c>
      <c r="B230" s="22" t="s">
        <v>401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x14ac:dyDescent="0.55000000000000004">
      <c r="A231" s="23" t="s">
        <v>38</v>
      </c>
      <c r="B231" s="22" t="s">
        <v>447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x14ac:dyDescent="0.55000000000000004">
      <c r="A232" s="23" t="s">
        <v>26</v>
      </c>
      <c r="B232" s="22" t="s">
        <v>402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x14ac:dyDescent="0.55000000000000004">
      <c r="A233" s="23" t="s">
        <v>95</v>
      </c>
      <c r="B233" s="22" t="s">
        <v>403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x14ac:dyDescent="0.55000000000000004">
      <c r="A234" s="23" t="s">
        <v>96</v>
      </c>
      <c r="B234" s="22" t="s">
        <v>404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x14ac:dyDescent="0.55000000000000004">
      <c r="A235" s="23" t="s">
        <v>97</v>
      </c>
      <c r="B235" s="22" t="s">
        <v>405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x14ac:dyDescent="0.55000000000000004">
      <c r="A236" s="23" t="s">
        <v>98</v>
      </c>
      <c r="B236" s="22" t="s">
        <v>406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x14ac:dyDescent="0.55000000000000004">
      <c r="A237" s="23" t="s">
        <v>99</v>
      </c>
      <c r="B237" s="22" t="s">
        <v>407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x14ac:dyDescent="0.55000000000000004">
      <c r="A238" s="23" t="s">
        <v>20</v>
      </c>
      <c r="B238" s="22" t="s">
        <v>408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x14ac:dyDescent="0.55000000000000004">
      <c r="A239" s="23" t="s">
        <v>102</v>
      </c>
      <c r="B239" s="22" t="s">
        <v>409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x14ac:dyDescent="0.55000000000000004">
      <c r="A240" s="23" t="s">
        <v>100</v>
      </c>
      <c r="B240" s="22" t="s">
        <v>410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x14ac:dyDescent="0.55000000000000004">
      <c r="A241" s="23" t="s">
        <v>101</v>
      </c>
      <c r="B241" s="22" t="s">
        <v>411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x14ac:dyDescent="0.55000000000000004">
      <c r="A242" s="23" t="s">
        <v>141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x14ac:dyDescent="0.55000000000000004">
      <c r="A243" s="23" t="s">
        <v>140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x14ac:dyDescent="0.55000000000000004">
      <c r="A244" s="23" t="s">
        <v>103</v>
      </c>
      <c r="B244" s="22" t="s">
        <v>412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x14ac:dyDescent="0.55000000000000004">
      <c r="A245" s="23" t="s">
        <v>104</v>
      </c>
      <c r="B245" s="22" t="s">
        <v>413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x14ac:dyDescent="0.55000000000000004">
      <c r="A246" s="23" t="s">
        <v>105</v>
      </c>
      <c r="B246" s="22" t="s">
        <v>414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x14ac:dyDescent="0.55000000000000004">
      <c r="A247" s="23" t="s">
        <v>106</v>
      </c>
      <c r="B247" s="22" t="s">
        <v>415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x14ac:dyDescent="0.55000000000000004">
      <c r="A248" s="23" t="s">
        <v>142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x14ac:dyDescent="0.55000000000000004">
      <c r="A249" s="23" t="s">
        <v>143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x14ac:dyDescent="0.55000000000000004">
      <c r="A250" s="23" t="s">
        <v>107</v>
      </c>
      <c r="B250" s="22" t="s">
        <v>416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x14ac:dyDescent="0.55000000000000004">
      <c r="A251" s="23" t="s">
        <v>108</v>
      </c>
      <c r="B251" s="22" t="s">
        <v>417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x14ac:dyDescent="0.55000000000000004">
      <c r="A252" s="23" t="s">
        <v>109</v>
      </c>
      <c r="B252" s="22" t="s">
        <v>418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x14ac:dyDescent="0.55000000000000004">
      <c r="A253" s="23" t="s">
        <v>110</v>
      </c>
      <c r="B253" s="22" t="s">
        <v>419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x14ac:dyDescent="0.55000000000000004">
      <c r="A254" s="23" t="s">
        <v>111</v>
      </c>
      <c r="B254" s="22" t="s">
        <v>420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x14ac:dyDescent="0.55000000000000004">
      <c r="A255" s="23" t="s">
        <v>112</v>
      </c>
      <c r="B255" s="22" t="s">
        <v>421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x14ac:dyDescent="0.55000000000000004">
      <c r="A256" s="23" t="s">
        <v>113</v>
      </c>
      <c r="B256" s="22" t="s">
        <v>422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x14ac:dyDescent="0.55000000000000004">
      <c r="A257" s="23" t="s">
        <v>114</v>
      </c>
      <c r="B257" s="22" t="s">
        <v>423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x14ac:dyDescent="0.55000000000000004">
      <c r="A258" s="23" t="s">
        <v>30</v>
      </c>
      <c r="B258" s="22" t="s">
        <v>424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x14ac:dyDescent="0.55000000000000004">
      <c r="A259" s="23" t="s">
        <v>115</v>
      </c>
      <c r="B259" s="22" t="s">
        <v>352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x14ac:dyDescent="0.55000000000000004">
      <c r="A260" s="23" t="s">
        <v>116</v>
      </c>
      <c r="B260" s="22" t="s">
        <v>425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x14ac:dyDescent="0.55000000000000004">
      <c r="A261" s="23" t="s">
        <v>31</v>
      </c>
      <c r="B261" s="22" t="s">
        <v>426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x14ac:dyDescent="0.55000000000000004">
      <c r="A262" s="23" t="s">
        <v>117</v>
      </c>
      <c r="B262" s="22" t="s">
        <v>427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x14ac:dyDescent="0.55000000000000004">
      <c r="A263" s="23" t="s">
        <v>32</v>
      </c>
      <c r="B263" s="22" t="s">
        <v>428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x14ac:dyDescent="0.55000000000000004">
      <c r="A264" s="23" t="s">
        <v>118</v>
      </c>
      <c r="B264" s="22" t="s">
        <v>429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x14ac:dyDescent="0.55000000000000004">
      <c r="A265" s="23" t="s">
        <v>120</v>
      </c>
      <c r="B265" s="22" t="s">
        <v>430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x14ac:dyDescent="0.55000000000000004">
      <c r="A266" s="23" t="s">
        <v>144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x14ac:dyDescent="0.55000000000000004">
      <c r="A267" s="23" t="s">
        <v>28</v>
      </c>
      <c r="B267" s="22" t="s">
        <v>431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x14ac:dyDescent="0.55000000000000004">
      <c r="A268" s="23" t="s">
        <v>145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x14ac:dyDescent="0.55000000000000004">
      <c r="A269" s="23" t="s">
        <v>146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x14ac:dyDescent="0.55000000000000004">
      <c r="A270" s="23" t="s">
        <v>22</v>
      </c>
      <c r="B270" s="22" t="s">
        <v>432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x14ac:dyDescent="0.55000000000000004">
      <c r="A271" s="23" t="s">
        <v>119</v>
      </c>
      <c r="B271" s="22" t="s">
        <v>433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x14ac:dyDescent="0.55000000000000004">
      <c r="A272" s="23" t="s">
        <v>121</v>
      </c>
      <c r="B272" s="22" t="s">
        <v>434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x14ac:dyDescent="0.55000000000000004">
      <c r="A273" s="23" t="s">
        <v>123</v>
      </c>
      <c r="B273" s="22" t="s">
        <v>435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x14ac:dyDescent="0.55000000000000004">
      <c r="A274" s="23" t="s">
        <v>122</v>
      </c>
      <c r="B274" s="22" t="s">
        <v>436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x14ac:dyDescent="0.55000000000000004">
      <c r="A275" s="23" t="s">
        <v>124</v>
      </c>
      <c r="B275" s="22" t="s">
        <v>437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x14ac:dyDescent="0.55000000000000004">
      <c r="A276" s="23" t="s">
        <v>23</v>
      </c>
      <c r="B276" s="22" t="s">
        <v>438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x14ac:dyDescent="0.55000000000000004">
      <c r="A277" s="23" t="s">
        <v>125</v>
      </c>
      <c r="B277" s="22" t="s">
        <v>439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x14ac:dyDescent="0.55000000000000004">
      <c r="A278" s="23" t="s">
        <v>126</v>
      </c>
      <c r="B278" s="22" t="s">
        <v>440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x14ac:dyDescent="0.55000000000000004">
      <c r="A279" s="23" t="s">
        <v>147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x14ac:dyDescent="0.55000000000000004">
      <c r="A280" s="23" t="s">
        <v>148</v>
      </c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x14ac:dyDescent="0.55000000000000004">
      <c r="A281" s="23" t="s">
        <v>127</v>
      </c>
      <c r="B281" s="22" t="s">
        <v>441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x14ac:dyDescent="0.55000000000000004">
      <c r="A282" s="23" t="s">
        <v>128</v>
      </c>
      <c r="B282" s="22" t="s">
        <v>442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x14ac:dyDescent="0.55000000000000004">
      <c r="A283" s="23" t="s">
        <v>129</v>
      </c>
      <c r="B283" s="22" t="s">
        <v>443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x14ac:dyDescent="0.55000000000000004">
      <c r="A284" s="23" t="s">
        <v>130</v>
      </c>
      <c r="B284" s="22" t="s">
        <v>444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</sheetData>
  <sortState xmlns:xlrd2="http://schemas.microsoft.com/office/spreadsheetml/2017/richdata2" ref="H7:H161">
    <sortCondition ref="H6:H161"/>
  </sortState>
  <mergeCells count="2">
    <mergeCell ref="C1:F2"/>
    <mergeCell ref="A3:F3"/>
  </mergeCells>
  <conditionalFormatting sqref="A5:F140">
    <cfRule type="expression" dxfId="30" priority="1">
      <formula>ISEVEN(ROW())</formula>
    </cfRule>
  </conditionalFormatting>
  <pageMargins left="0.7" right="0.7" top="0.75" bottom="0.75" header="0.3" footer="0.3"/>
  <pageSetup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81" bestFit="1" customWidth="1"/>
    <col min="2" max="2" width="11.19921875" style="84" customWidth="1"/>
    <col min="3" max="3" width="11.53125" style="64" bestFit="1" customWidth="1"/>
    <col min="4" max="4" width="11.33203125" style="90" bestFit="1" customWidth="1"/>
    <col min="5" max="5" width="14.59765625" style="105" customWidth="1"/>
    <col min="6" max="8" width="12.59765625" style="106" customWidth="1"/>
    <col min="9" max="11" width="9.1328125" style="64" customWidth="1"/>
    <col min="12" max="12" width="13.33203125" style="64" customWidth="1"/>
    <col min="13" max="13" width="9" style="22" customWidth="1"/>
    <col min="14" max="16" width="9.06640625" style="22"/>
    <col min="17" max="16384" width="9.06640625" style="54"/>
  </cols>
  <sheetData>
    <row r="1" spans="1:16" s="55" customFormat="1" x14ac:dyDescent="0.55000000000000004">
      <c r="A1" s="82" t="s">
        <v>27</v>
      </c>
      <c r="B1" s="66" t="s">
        <v>579</v>
      </c>
      <c r="C1" s="85"/>
      <c r="D1" s="86"/>
      <c r="E1" s="91"/>
      <c r="F1" s="97"/>
      <c r="G1" s="98"/>
      <c r="H1" s="98"/>
      <c r="I1" s="85"/>
      <c r="J1" s="85"/>
      <c r="K1" s="78" t="s">
        <v>10</v>
      </c>
      <c r="L1" s="65" t="s">
        <v>618</v>
      </c>
      <c r="M1" s="65"/>
      <c r="N1" s="283" t="e" vm="1">
        <v>#VALUE!</v>
      </c>
      <c r="O1" s="283"/>
      <c r="P1" s="284"/>
    </row>
    <row r="2" spans="1:16" s="55" customFormat="1" x14ac:dyDescent="0.55000000000000004">
      <c r="A2" s="268" t="str">
        <f>""&amp;Status!$A$2</f>
        <v/>
      </c>
      <c r="B2" s="67" t="s">
        <v>610</v>
      </c>
      <c r="C2" s="20"/>
      <c r="D2" s="87"/>
      <c r="E2" s="92"/>
      <c r="F2" s="99"/>
      <c r="G2" s="100"/>
      <c r="H2" s="100"/>
      <c r="I2" s="20"/>
      <c r="J2" s="20"/>
      <c r="K2" s="79" t="s">
        <v>613</v>
      </c>
      <c r="L2" s="286" t="s">
        <v>619</v>
      </c>
      <c r="M2" s="286"/>
      <c r="N2" s="280"/>
      <c r="O2" s="280"/>
      <c r="P2" s="285"/>
    </row>
    <row r="3" spans="1:16" s="55" customFormat="1" x14ac:dyDescent="0.55000000000000004">
      <c r="A3" s="80"/>
      <c r="B3" s="67" t="s">
        <v>615</v>
      </c>
      <c r="C3" s="56"/>
      <c r="D3" s="88"/>
      <c r="E3" s="93"/>
      <c r="F3" s="100"/>
      <c r="G3" s="100"/>
      <c r="H3" s="100"/>
      <c r="I3" s="20"/>
      <c r="J3" s="20"/>
      <c r="K3" s="79" t="s">
        <v>614</v>
      </c>
      <c r="L3" s="286" t="s">
        <v>620</v>
      </c>
      <c r="M3" s="286"/>
      <c r="N3" s="20"/>
      <c r="O3" s="20"/>
      <c r="P3" s="57"/>
    </row>
    <row r="4" spans="1:16" s="55" customFormat="1" x14ac:dyDescent="0.55000000000000004">
      <c r="A4" s="73" t="s">
        <v>621</v>
      </c>
      <c r="B4" s="83" t="s">
        <v>616</v>
      </c>
      <c r="C4" s="58"/>
      <c r="D4" s="89"/>
      <c r="E4" s="94"/>
      <c r="F4" s="101"/>
      <c r="G4" s="101"/>
      <c r="H4" s="101"/>
      <c r="I4" s="59"/>
      <c r="J4" s="59"/>
      <c r="K4" s="59"/>
      <c r="L4" s="59"/>
      <c r="M4" s="58"/>
      <c r="N4" s="59"/>
      <c r="O4" s="59"/>
      <c r="P4" s="60"/>
    </row>
    <row r="5" spans="1:16" s="55" customFormat="1" ht="15.75" thickBot="1" x14ac:dyDescent="0.6">
      <c r="A5" s="74" t="s">
        <v>622</v>
      </c>
      <c r="B5" s="74" t="str" cm="1">
        <f t="array" ref="B5:P5">{"Position","LocalSymbol","AverageCost","MarketValue","DailyPNL","RealizedPNL","UnrealizedPNL","SecType","Exchange","Currency","TradingClass","Right","Expiration","Strike","Multiplier"}</f>
        <v>Position</v>
      </c>
      <c r="C5" s="75" t="str">
        <v>LocalSymbol</v>
      </c>
      <c r="D5" s="107" t="str">
        <v>AverageCost</v>
      </c>
      <c r="E5" s="95" t="str">
        <v>MarketValue</v>
      </c>
      <c r="F5" s="102" t="str">
        <v>DailyPNL</v>
      </c>
      <c r="G5" s="102" t="str">
        <v>RealizedPNL</v>
      </c>
      <c r="H5" s="102" t="str">
        <v>UnrealizedPNL</v>
      </c>
      <c r="I5" s="76" t="str">
        <v>SecType</v>
      </c>
      <c r="J5" s="76" t="str">
        <v>Exchange</v>
      </c>
      <c r="K5" s="77" t="str">
        <v>Currency</v>
      </c>
      <c r="L5" s="77" t="str">
        <v>TradingClass</v>
      </c>
      <c r="M5" s="75" t="str">
        <v>Right</v>
      </c>
      <c r="N5" s="75" t="str">
        <v>Expiration</v>
      </c>
      <c r="O5" s="75" t="str">
        <v>Strike</v>
      </c>
      <c r="P5" s="75" t="str">
        <v>Multiplier</v>
      </c>
    </row>
    <row r="6" spans="1:16" s="55" customFormat="1" x14ac:dyDescent="0.55000000000000004">
      <c r="A6" s="61" t="s">
        <v>617</v>
      </c>
      <c r="B6" s="84" t="s">
        <v>691</v>
      </c>
      <c r="C6" s="62"/>
      <c r="D6" s="63"/>
      <c r="E6" s="96"/>
      <c r="F6" s="103"/>
      <c r="G6" s="103"/>
      <c r="H6" s="103"/>
      <c r="I6" s="64"/>
      <c r="J6" s="64"/>
      <c r="K6" s="64"/>
      <c r="L6" s="64"/>
      <c r="M6" s="62"/>
      <c r="N6" s="64"/>
      <c r="O6" s="64"/>
      <c r="P6" s="64"/>
    </row>
  </sheetData>
  <mergeCells count="3">
    <mergeCell ref="N1:P2"/>
    <mergeCell ref="L2:M2"/>
    <mergeCell ref="L3:M3"/>
  </mergeCells>
  <conditionalFormatting sqref="A1:P1048576">
    <cfRule type="expression" dxfId="29" priority="1">
      <formula>AND($A1&lt;&gt;"",ROW()&gt;5,ISODD(ROW()))</formula>
    </cfRule>
    <cfRule type="expression" dxfId="28" priority="2">
      <formula>AND($A1&lt;&gt;"",ROW()&gt;5,ISEVEN(ROW()))</formula>
    </cfRule>
  </conditionalFormatting>
  <pageMargins left="0.7" right="0.7" top="0.75" bottom="0.75" header="0.3" footer="0.3"/>
  <pageSetup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2D08-CC9C-4AB0-A6E4-BA9EB8192E72}">
  <sheetPr codeName="Sheet8"/>
  <dimension ref="A1:CB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61" bestFit="1" customWidth="1"/>
    <col min="2" max="2" width="11.19921875" style="118" customWidth="1"/>
    <col min="3" max="3" width="11.53125" style="118" bestFit="1" customWidth="1"/>
    <col min="4" max="4" width="11.33203125" style="63" bestFit="1" customWidth="1"/>
    <col min="5" max="5" width="8.59765625" style="126" customWidth="1"/>
    <col min="6" max="6" width="8.59765625" style="133" customWidth="1"/>
    <col min="7" max="7" width="10.59765625" style="133" customWidth="1"/>
    <col min="8" max="8" width="10.59765625" style="84" customWidth="1"/>
    <col min="9" max="10" width="10.59765625" style="138" customWidth="1"/>
    <col min="11" max="12" width="10.59765625" style="142" customWidth="1"/>
    <col min="13" max="13" width="11.59765625" style="64" customWidth="1"/>
    <col min="14" max="14" width="9.06640625" style="64"/>
    <col min="15" max="16" width="10.59765625" style="145" customWidth="1"/>
    <col min="17" max="17" width="10.59765625" style="155" customWidth="1"/>
    <col min="18" max="19" width="9.06640625" style="61"/>
    <col min="20" max="20" width="9.1328125" style="146" bestFit="1" customWidth="1"/>
    <col min="21" max="21" width="5.9296875" style="146" bestFit="1" customWidth="1"/>
    <col min="22" max="22" width="10.796875" style="146" bestFit="1" customWidth="1"/>
    <col min="23" max="23" width="9.1328125" style="146" bestFit="1" customWidth="1"/>
    <col min="24" max="24" width="9.1328125" style="150" bestFit="1" customWidth="1"/>
    <col min="25" max="25" width="9" style="150" bestFit="1" customWidth="1"/>
    <col min="26" max="26" width="9.796875" style="146" bestFit="1" customWidth="1"/>
    <col min="27" max="27" width="10.265625" style="146" bestFit="1" customWidth="1"/>
    <col min="28" max="30" width="9.1328125" style="146" bestFit="1" customWidth="1"/>
    <col min="31" max="32" width="9.06640625" style="61"/>
    <col min="33" max="34" width="9.1328125" style="61" bestFit="1" customWidth="1"/>
    <col min="35" max="35" width="9.1328125" style="146" bestFit="1" customWidth="1"/>
    <col min="36" max="36" width="9.1328125" style="61" bestFit="1" customWidth="1"/>
    <col min="37" max="37" width="10.73046875" style="146" bestFit="1" customWidth="1"/>
    <col min="38" max="38" width="9.06640625" style="61"/>
    <col min="39" max="41" width="9.1328125" style="146" bestFit="1" customWidth="1"/>
    <col min="42" max="42" width="11.19921875" style="146" bestFit="1" customWidth="1"/>
    <col min="43" max="44" width="9.06640625" style="146"/>
    <col min="45" max="45" width="9.1328125" style="146" bestFit="1" customWidth="1"/>
    <col min="46" max="46" width="10" style="146" bestFit="1" customWidth="1"/>
    <col min="47" max="48" width="9.1328125" style="61" bestFit="1" customWidth="1"/>
    <col min="49" max="49" width="9.1328125" style="146" bestFit="1" customWidth="1"/>
    <col min="50" max="50" width="9.06640625" style="146" bestFit="1" customWidth="1"/>
    <col min="51" max="51" width="11.265625" style="146" bestFit="1" customWidth="1"/>
    <col min="52" max="52" width="9.1328125" style="146" bestFit="1" customWidth="1"/>
    <col min="53" max="53" width="9.73046875" style="146" bestFit="1" customWidth="1"/>
    <col min="54" max="54" width="10.19921875" style="146" bestFit="1" customWidth="1"/>
    <col min="55" max="62" width="9.1328125" style="146" bestFit="1" customWidth="1"/>
    <col min="63" max="63" width="11.265625" style="146" bestFit="1" customWidth="1"/>
    <col min="64" max="64" width="14.9296875" style="146" bestFit="1" customWidth="1"/>
    <col min="65" max="65" width="26.73046875" style="146" bestFit="1" customWidth="1"/>
    <col min="66" max="66" width="10.19921875" style="146" bestFit="1" customWidth="1"/>
    <col min="67" max="67" width="13.46484375" style="152" bestFit="1" customWidth="1"/>
    <col min="68" max="68" width="15.86328125" style="152" bestFit="1" customWidth="1"/>
    <col min="69" max="69" width="16.1328125" style="152" bestFit="1" customWidth="1"/>
    <col min="70" max="70" width="19" style="61" bestFit="1" customWidth="1"/>
    <col min="71" max="71" width="10.46484375" style="61" bestFit="1" customWidth="1"/>
    <col min="72" max="72" width="11" style="61" bestFit="1" customWidth="1"/>
    <col min="73" max="73" width="12.6640625" style="61" bestFit="1" customWidth="1"/>
    <col min="74" max="74" width="14.3984375" style="61" bestFit="1" customWidth="1"/>
    <col min="75" max="75" width="11.73046875" style="61" bestFit="1" customWidth="1"/>
    <col min="76" max="76" width="13.3984375" style="61" bestFit="1" customWidth="1"/>
    <col min="77" max="77" width="15.1328125" style="61" bestFit="1" customWidth="1"/>
    <col min="78" max="78" width="10.06640625" style="61" bestFit="1" customWidth="1"/>
    <col min="79" max="79" width="11.6640625" style="61" bestFit="1" customWidth="1"/>
    <col min="80" max="80" width="13.46484375" style="61" bestFit="1" customWidth="1"/>
    <col min="81" max="16384" width="9.06640625" style="54"/>
  </cols>
  <sheetData>
    <row r="1" spans="1:80" s="55" customFormat="1" x14ac:dyDescent="0.55000000000000004">
      <c r="A1" s="82" t="s">
        <v>27</v>
      </c>
      <c r="B1" s="163" t="s">
        <v>579</v>
      </c>
      <c r="C1" s="111"/>
      <c r="D1" s="119"/>
      <c r="E1" s="120"/>
      <c r="F1" s="127"/>
      <c r="G1" s="128"/>
      <c r="H1" s="134"/>
      <c r="I1" s="68"/>
      <c r="J1" s="68"/>
      <c r="K1" s="139" t="s">
        <v>260</v>
      </c>
      <c r="L1" s="165" t="s">
        <v>618</v>
      </c>
      <c r="M1" s="104"/>
      <c r="N1" s="280" t="e" vm="1">
        <v>#VALUE!</v>
      </c>
      <c r="O1" s="280"/>
      <c r="P1" s="280"/>
      <c r="Q1" s="156"/>
      <c r="R1" s="157"/>
      <c r="S1" s="157"/>
      <c r="T1" s="158"/>
      <c r="U1" s="158"/>
      <c r="V1" s="158"/>
      <c r="W1" s="158"/>
      <c r="X1" s="159"/>
      <c r="Y1" s="159"/>
      <c r="Z1" s="158"/>
      <c r="AA1" s="158"/>
      <c r="AB1" s="158"/>
      <c r="AC1" s="158"/>
      <c r="AD1" s="158"/>
      <c r="AE1" s="157"/>
      <c r="AF1" s="157"/>
      <c r="AG1" s="157"/>
      <c r="AH1" s="157"/>
      <c r="AI1" s="158"/>
      <c r="AJ1" s="157"/>
      <c r="AK1" s="158"/>
      <c r="AL1" s="157"/>
      <c r="AM1" s="158"/>
      <c r="AN1" s="158"/>
      <c r="AO1" s="158"/>
      <c r="AP1" s="158"/>
      <c r="AQ1" s="158"/>
      <c r="AR1" s="158"/>
      <c r="AS1" s="158"/>
      <c r="AT1" s="158"/>
      <c r="AU1" s="157"/>
      <c r="AV1" s="157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60"/>
      <c r="BP1" s="160"/>
      <c r="BQ1" s="160"/>
      <c r="BR1" s="157"/>
      <c r="BS1" s="157"/>
      <c r="BT1" s="157"/>
      <c r="BU1" s="157"/>
      <c r="BV1" s="157"/>
      <c r="BW1" s="157"/>
      <c r="BX1" s="157"/>
      <c r="BY1" s="157"/>
      <c r="BZ1" s="157"/>
      <c r="CA1" s="157"/>
      <c r="CB1" s="157"/>
    </row>
    <row r="2" spans="1:80" s="55" customFormat="1" x14ac:dyDescent="0.55000000000000004">
      <c r="A2" s="268" t="str">
        <f>""&amp;Status!$A$2</f>
        <v/>
      </c>
      <c r="B2" s="164" t="s">
        <v>610</v>
      </c>
      <c r="C2" s="112"/>
      <c r="D2" s="88"/>
      <c r="E2" s="121"/>
      <c r="F2" s="129"/>
      <c r="G2" s="130"/>
      <c r="H2" s="70"/>
      <c r="I2" s="69"/>
      <c r="J2" s="69"/>
      <c r="K2" s="140" t="s">
        <v>692</v>
      </c>
      <c r="L2" s="286" t="s">
        <v>619</v>
      </c>
      <c r="M2" s="286"/>
      <c r="N2" s="280"/>
      <c r="O2" s="280"/>
      <c r="P2" s="280"/>
      <c r="Q2" s="156"/>
      <c r="R2" s="157"/>
      <c r="S2" s="157"/>
      <c r="T2" s="158"/>
      <c r="U2" s="158"/>
      <c r="V2" s="158"/>
      <c r="W2" s="158"/>
      <c r="X2" s="159"/>
      <c r="Y2" s="159"/>
      <c r="Z2" s="158"/>
      <c r="AA2" s="158"/>
      <c r="AB2" s="158"/>
      <c r="AC2" s="158"/>
      <c r="AD2" s="158"/>
      <c r="AE2" s="157"/>
      <c r="AF2" s="157"/>
      <c r="AG2" s="157"/>
      <c r="AH2" s="157"/>
      <c r="AI2" s="158"/>
      <c r="AJ2" s="157"/>
      <c r="AK2" s="158"/>
      <c r="AL2" s="157"/>
      <c r="AM2" s="158"/>
      <c r="AN2" s="158"/>
      <c r="AO2" s="158"/>
      <c r="AP2" s="158"/>
      <c r="AQ2" s="158"/>
      <c r="AR2" s="158"/>
      <c r="AS2" s="158"/>
      <c r="AT2" s="158"/>
      <c r="AU2" s="157"/>
      <c r="AV2" s="157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60"/>
      <c r="BP2" s="160"/>
      <c r="BQ2" s="160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</row>
    <row r="3" spans="1:80" s="55" customFormat="1" x14ac:dyDescent="0.55000000000000004">
      <c r="A3" s="108"/>
      <c r="B3" s="164" t="s">
        <v>615</v>
      </c>
      <c r="C3" s="113"/>
      <c r="D3" s="88"/>
      <c r="E3" s="122"/>
      <c r="F3" s="130"/>
      <c r="G3" s="130"/>
      <c r="H3" s="70"/>
      <c r="I3" s="69"/>
      <c r="J3" s="69"/>
      <c r="K3" s="140" t="s">
        <v>624</v>
      </c>
      <c r="L3" s="286" t="s">
        <v>620</v>
      </c>
      <c r="M3" s="286"/>
      <c r="N3" s="20"/>
      <c r="O3" s="143"/>
      <c r="P3" s="143"/>
      <c r="Q3" s="156"/>
      <c r="R3" s="157"/>
      <c r="S3" s="157"/>
      <c r="T3" s="158"/>
      <c r="U3" s="158"/>
      <c r="V3" s="158"/>
      <c r="W3" s="158"/>
      <c r="X3" s="159"/>
      <c r="Y3" s="159"/>
      <c r="Z3" s="158"/>
      <c r="AA3" s="158"/>
      <c r="AB3" s="158"/>
      <c r="AC3" s="158"/>
      <c r="AD3" s="158"/>
      <c r="AE3" s="157"/>
      <c r="AF3" s="157"/>
      <c r="AG3" s="157"/>
      <c r="AH3" s="157"/>
      <c r="AI3" s="158"/>
      <c r="AJ3" s="157"/>
      <c r="AK3" s="158"/>
      <c r="AL3" s="157"/>
      <c r="AM3" s="158"/>
      <c r="AN3" s="158"/>
      <c r="AO3" s="158"/>
      <c r="AP3" s="158"/>
      <c r="AQ3" s="158"/>
      <c r="AR3" s="158"/>
      <c r="AS3" s="158"/>
      <c r="AT3" s="158"/>
      <c r="AU3" s="157"/>
      <c r="AV3" s="157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  <c r="BJ3" s="158"/>
      <c r="BK3" s="158"/>
      <c r="BL3" s="158"/>
      <c r="BM3" s="158"/>
      <c r="BN3" s="158"/>
      <c r="BO3" s="160"/>
      <c r="BP3" s="160"/>
      <c r="BQ3" s="160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</row>
    <row r="4" spans="1:80" s="55" customFormat="1" x14ac:dyDescent="0.55000000000000004">
      <c r="A4" s="109" t="b">
        <v>0</v>
      </c>
      <c r="B4" s="164" t="s">
        <v>623</v>
      </c>
      <c r="C4" s="114"/>
      <c r="D4" s="89"/>
      <c r="E4" s="123"/>
      <c r="F4" s="131"/>
      <c r="G4" s="131"/>
      <c r="H4" s="71"/>
      <c r="I4" s="137"/>
      <c r="J4" s="137"/>
      <c r="K4" s="140" t="s">
        <v>625</v>
      </c>
      <c r="L4" s="286" t="s">
        <v>693</v>
      </c>
      <c r="M4" s="286"/>
      <c r="N4" s="20"/>
      <c r="O4" s="143"/>
      <c r="P4" s="143"/>
      <c r="Q4" s="156"/>
      <c r="R4" s="157"/>
      <c r="S4" s="157"/>
      <c r="T4" s="158"/>
      <c r="U4" s="158"/>
      <c r="V4" s="158"/>
      <c r="W4" s="158"/>
      <c r="X4" s="159"/>
      <c r="Y4" s="159"/>
      <c r="Z4" s="158"/>
      <c r="AA4" s="158"/>
      <c r="AB4" s="158"/>
      <c r="AC4" s="158"/>
      <c r="AD4" s="158"/>
      <c r="AE4" s="157"/>
      <c r="AF4" s="157"/>
      <c r="AG4" s="157"/>
      <c r="AH4" s="157"/>
      <c r="AI4" s="158"/>
      <c r="AJ4" s="157"/>
      <c r="AK4" s="158"/>
      <c r="AL4" s="157"/>
      <c r="AM4" s="158"/>
      <c r="AN4" s="158"/>
      <c r="AO4" s="158"/>
      <c r="AP4" s="158"/>
      <c r="AQ4" s="158"/>
      <c r="AR4" s="158"/>
      <c r="AS4" s="158"/>
      <c r="AT4" s="158"/>
      <c r="AU4" s="157"/>
      <c r="AV4" s="157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60"/>
      <c r="BP4" s="160"/>
      <c r="BQ4" s="160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</row>
    <row r="5" spans="1:80" s="55" customFormat="1" ht="15.75" thickBot="1" x14ac:dyDescent="0.6">
      <c r="A5" s="115" t="s">
        <v>464</v>
      </c>
      <c r="B5" s="161" t="str" cm="1">
        <f t="array" ref="B5:C5">{"FirstSeenUTC","LastUpdate"}</f>
        <v>FirstSeenUTC</v>
      </c>
      <c r="C5" s="116" t="str">
        <v>LastUpdate</v>
      </c>
      <c r="D5" s="110" t="str" cm="1">
        <f t="array" ref="D5:CB5">{"Status","Symbol","Side","OrderType","Quantity","Filled","Remaining","LmtPrice","AvgFillPrice","TIF","Exchange","AlgoStrategy","AlgoParams","ConId","SecType","Currency","DisplaySize","Hidden","AllowPreOpen","OutsideRTH","StopPrice","TrailStopPrice","TrailingPercent","ActiveStartTime","Right","ParentId","WhyHeld","Submitter","Account","FAGroup","FAMethod","WarningText","OrderId","ClientId","OrdRef","Expiry","Strike","Multiplier","PrimaryExchange","LocalSymbol","TradingClass","GoodTillDate","GoodAfterTime","OCAGroup","OCAType","MinQty","PercentOffset","DiscretionaryAmt","CashQty","LmtPriceOffset","ActiveStopTime","ModelCode","OpenClose","AllOrNone","BlockOrder","SweepToFill","NotHeld","Solicited","WhatIf","IncludeOvernight","CompletedStatus","CompletedTime","RejectReason","CommissionAndFees","MinCommissionAndFees","MaxCommissionAndFees","CommissionAndFeesCurrency","MarginCurrency","InitMarginBefore","MaintMarginBefore","EquityWithLoanBefore","InitMarginChange","MaintMarginChange","EquityWithLoanChange","InitMarginAfter","MaintMarginAfter","EquityWithLoanAfter"}</f>
        <v>Status</v>
      </c>
      <c r="E5" s="124" t="str">
        <v>Symbol</v>
      </c>
      <c r="F5" s="102" t="str">
        <v>Side</v>
      </c>
      <c r="G5" s="102" t="str">
        <v>OrderType</v>
      </c>
      <c r="H5" s="135" t="str">
        <v>Quantity</v>
      </c>
      <c r="I5" s="136" t="str">
        <v>Filled</v>
      </c>
      <c r="J5" s="136" t="str">
        <v>Remaining</v>
      </c>
      <c r="K5" s="141" t="str">
        <v>LmtPrice</v>
      </c>
      <c r="L5" s="141" t="str">
        <v>AvgFillPrice</v>
      </c>
      <c r="M5" s="75" t="str">
        <v>TIF</v>
      </c>
      <c r="N5" s="75" t="str">
        <v>Exchange</v>
      </c>
      <c r="O5" s="144" t="str">
        <v>AlgoStrategy</v>
      </c>
      <c r="P5" s="144" t="str">
        <v>AlgoParams</v>
      </c>
      <c r="Q5" s="147" t="str">
        <v>ConId</v>
      </c>
      <c r="R5" s="148" t="str">
        <v>SecType</v>
      </c>
      <c r="S5" s="148" t="str">
        <v>Currency</v>
      </c>
      <c r="T5" s="148" t="str">
        <v>DisplaySize</v>
      </c>
      <c r="U5" s="148" t="str">
        <v>Hidden</v>
      </c>
      <c r="V5" s="148" t="str">
        <v>AllowPreOpen</v>
      </c>
      <c r="W5" s="148" t="str">
        <v>OutsideRTH</v>
      </c>
      <c r="X5" s="154" t="str">
        <v>StopPrice</v>
      </c>
      <c r="Y5" s="151" t="str">
        <v>TrailStopPrice</v>
      </c>
      <c r="Z5" s="149" t="str">
        <v>TrailingPercent</v>
      </c>
      <c r="AA5" s="149" t="str">
        <v>ActiveStartTime</v>
      </c>
      <c r="AB5" s="148" t="str">
        <v>Right</v>
      </c>
      <c r="AC5" s="148" t="str">
        <v>ParentId</v>
      </c>
      <c r="AD5" s="148" t="str">
        <v>WhyHeld</v>
      </c>
      <c r="AE5" s="148" t="str">
        <v>Submitter</v>
      </c>
      <c r="AF5" s="148" t="str">
        <v>Account</v>
      </c>
      <c r="AG5" s="148" t="str">
        <v>FAGroup</v>
      </c>
      <c r="AH5" s="148" t="str">
        <v>FAMethod</v>
      </c>
      <c r="AI5" s="148" t="str">
        <v>WarningText</v>
      </c>
      <c r="AJ5" s="148" t="str">
        <v>OrderId</v>
      </c>
      <c r="AK5" s="148" t="str">
        <v>ClientId</v>
      </c>
      <c r="AL5" s="148" t="str">
        <v>OrdRef</v>
      </c>
      <c r="AM5" s="148" t="str">
        <v>Expiry</v>
      </c>
      <c r="AN5" s="148" t="str">
        <v>Strike</v>
      </c>
      <c r="AO5" s="148" t="str">
        <v>Multiplier</v>
      </c>
      <c r="AP5" s="149" t="str">
        <v>PrimaryExchange</v>
      </c>
      <c r="AQ5" s="149" t="str">
        <v>LocalSymbol</v>
      </c>
      <c r="AR5" s="149" t="str">
        <v>TradingClass</v>
      </c>
      <c r="AS5" s="149" t="str">
        <v>GoodTillDate</v>
      </c>
      <c r="AT5" s="149" t="str">
        <v>GoodAfterTime</v>
      </c>
      <c r="AU5" s="148" t="str">
        <v>OCAGroup</v>
      </c>
      <c r="AV5" s="148" t="str">
        <v>OCAType</v>
      </c>
      <c r="AW5" s="148" t="str">
        <v>MinQty</v>
      </c>
      <c r="AX5" s="149" t="str">
        <v>PercentOffset</v>
      </c>
      <c r="AY5" s="149" t="str">
        <v>DiscretionaryAmt</v>
      </c>
      <c r="AZ5" s="148" t="str">
        <v>CashQty</v>
      </c>
      <c r="BA5" s="149" t="str">
        <v>LmtPriceOffset</v>
      </c>
      <c r="BB5" s="149" t="str">
        <v>ActiveStopTime</v>
      </c>
      <c r="BC5" s="148" t="str">
        <v>ModelCode</v>
      </c>
      <c r="BD5" s="148" t="str">
        <v>OpenClose</v>
      </c>
      <c r="BE5" s="148" t="str">
        <v>AllOrNone</v>
      </c>
      <c r="BF5" s="148" t="str">
        <v>BlockOrder</v>
      </c>
      <c r="BG5" s="148" t="str">
        <v>SweepToFill</v>
      </c>
      <c r="BH5" s="148" t="str">
        <v>NotHeld</v>
      </c>
      <c r="BI5" s="148" t="str">
        <v>Solicited</v>
      </c>
      <c r="BJ5" s="148" t="str">
        <v>WhatIf</v>
      </c>
      <c r="BK5" s="149" t="str">
        <v>IncludeOvernight</v>
      </c>
      <c r="BL5" s="148" t="str">
        <v>CompletedStatus</v>
      </c>
      <c r="BM5" s="148" t="str">
        <v>CompletedTime</v>
      </c>
      <c r="BN5" s="148" t="str">
        <v>RejectReason</v>
      </c>
      <c r="BO5" s="153" t="str">
        <v>CommissionAndFees</v>
      </c>
      <c r="BP5" s="153" t="str">
        <v>MinCommissionAndFees</v>
      </c>
      <c r="BQ5" s="153" t="str">
        <v>MaxCommissionAndFees</v>
      </c>
      <c r="BR5" s="149" t="str">
        <v>CommissionAndFeesCurrency</v>
      </c>
      <c r="BS5" s="149" t="str">
        <v>MarginCurrency</v>
      </c>
      <c r="BT5" s="149" t="str">
        <v>InitMarginBefore</v>
      </c>
      <c r="BU5" s="149" t="str">
        <v>MaintMarginBefore</v>
      </c>
      <c r="BV5" s="149" t="str">
        <v>EquityWithLoanBefore</v>
      </c>
      <c r="BW5" s="149" t="str">
        <v>InitMarginChange</v>
      </c>
      <c r="BX5" s="149" t="str">
        <v>MaintMarginChange</v>
      </c>
      <c r="BY5" s="149" t="str">
        <v>EquityWithLoanChange</v>
      </c>
      <c r="BZ5" s="149" t="str">
        <v>InitMarginAfter</v>
      </c>
      <c r="CA5" s="149" t="str">
        <v>MaintMarginAfter</v>
      </c>
      <c r="CB5" s="149" t="str">
        <v>EquityWithLoanAfter</v>
      </c>
    </row>
    <row r="6" spans="1:80" s="55" customFormat="1" x14ac:dyDescent="0.55000000000000004">
      <c r="A6" s="61" t="s">
        <v>626</v>
      </c>
      <c r="B6" s="162" t="s">
        <v>627</v>
      </c>
      <c r="C6" s="117"/>
      <c r="D6" s="63" t="s">
        <v>628</v>
      </c>
      <c r="E6" s="125"/>
      <c r="F6" s="132"/>
      <c r="G6" s="132"/>
      <c r="H6" s="72"/>
      <c r="I6" s="138"/>
      <c r="J6" s="138"/>
      <c r="K6" s="142"/>
      <c r="L6" s="142"/>
      <c r="M6" s="62"/>
      <c r="N6" s="64"/>
      <c r="O6" s="145"/>
      <c r="P6" s="145"/>
      <c r="Q6" s="155"/>
      <c r="R6" s="61"/>
      <c r="S6" s="61"/>
      <c r="T6" s="146"/>
      <c r="U6" s="146"/>
      <c r="V6" s="146"/>
      <c r="W6" s="146"/>
      <c r="X6" s="150"/>
      <c r="Y6" s="150"/>
      <c r="Z6" s="146"/>
      <c r="AA6" s="146"/>
      <c r="AB6" s="146"/>
      <c r="AC6" s="146"/>
      <c r="AD6" s="146"/>
      <c r="AE6" s="61"/>
      <c r="AF6" s="61"/>
      <c r="AG6" s="61"/>
      <c r="AH6" s="61"/>
      <c r="AI6" s="146"/>
      <c r="AJ6" s="61"/>
      <c r="AK6" s="146"/>
      <c r="AL6" s="61"/>
      <c r="AM6" s="146"/>
      <c r="AN6" s="146"/>
      <c r="AO6" s="146"/>
      <c r="AP6" s="146"/>
      <c r="AQ6" s="146"/>
      <c r="AR6" s="146"/>
      <c r="AS6" s="146"/>
      <c r="AT6" s="146"/>
      <c r="AU6" s="61"/>
      <c r="AV6" s="61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52"/>
      <c r="BP6" s="152"/>
      <c r="BQ6" s="152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</row>
  </sheetData>
  <mergeCells count="4">
    <mergeCell ref="N1:P2"/>
    <mergeCell ref="L3:M3"/>
    <mergeCell ref="L2:M2"/>
    <mergeCell ref="L4:M4"/>
  </mergeCells>
  <conditionalFormatting sqref="A1:CB1 A5:CB1048576 A2:J4 N2:CB4">
    <cfRule type="expression" dxfId="27" priority="3">
      <formula>AND($A1&lt;&gt;"",ROW()&gt;5,ISODD(ROW()))</formula>
    </cfRule>
    <cfRule type="expression" dxfId="26" priority="4">
      <formula>AND($A1&lt;&gt;"",ROW()&gt;5,ISEVEN(ROW()))</formula>
    </cfRule>
  </conditionalFormatting>
  <conditionalFormatting sqref="K3:M3 K4:L4">
    <cfRule type="expression" dxfId="25" priority="24">
      <formula>AND($A2&lt;&gt;"",ROW()&gt;5,ISODD(ROW()))</formula>
    </cfRule>
    <cfRule type="expression" dxfId="24" priority="25">
      <formula>AND($A2&lt;&gt;"",ROW()&gt;5,ISEVEN(ROW()))</formula>
    </cfRule>
  </conditionalFormatting>
  <conditionalFormatting sqref="K2:M2">
    <cfRule type="expression" dxfId="23" priority="1">
      <formula>AND($A1&lt;&gt;"",ROW()&gt;5,ISODD(ROW()))</formula>
    </cfRule>
    <cfRule type="expression" dxfId="22" priority="2">
      <formula>AND($A1&lt;&gt;"",ROW()&gt;5,ISEVEN(ROW()))</formula>
    </cfRule>
  </conditionalFormatting>
  <dataValidations count="1">
    <dataValidation type="list" allowBlank="1" showInputMessage="1" showErrorMessage="1" sqref="A4" xr:uid="{936DB859-C1F6-4B7D-BE82-3D3F39DF4C19}">
      <formula1>"FALSE,TRUE"</formula1>
    </dataValidation>
  </dataValidations>
  <pageMargins left="0.7" right="0.7" top="0.75" bottom="0.75" header="0.3" footer="0.3"/>
  <pageSetup orientation="portrait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N75"/>
  <sheetViews>
    <sheetView showGridLines="0" workbookViewId="0"/>
  </sheetViews>
  <sheetFormatPr defaultRowHeight="15.4" x14ac:dyDescent="0.55000000000000004"/>
  <cols>
    <col min="1" max="1" width="26.9296875" style="22" bestFit="1" customWidth="1"/>
    <col min="2" max="2" width="16.59765625" style="22" customWidth="1"/>
    <col min="3" max="3" width="28" style="22" bestFit="1" customWidth="1"/>
    <col min="4" max="4" width="2.796875" style="22" customWidth="1"/>
    <col min="5" max="5" width="2.86328125" style="22" hidden="1" customWidth="1"/>
    <col min="6" max="6" width="18.73046875" style="22" bestFit="1" customWidth="1"/>
    <col min="7" max="7" width="34" style="22" bestFit="1" customWidth="1"/>
    <col min="8" max="8" width="12" style="22" bestFit="1" customWidth="1"/>
    <col min="9" max="9" width="59.73046875" style="22" bestFit="1" customWidth="1"/>
    <col min="10" max="10" width="36.6640625" style="22" customWidth="1"/>
    <col min="11" max="11" width="21.86328125" style="22" customWidth="1"/>
    <col min="12" max="12" width="8.1328125" style="22" bestFit="1" customWidth="1"/>
    <col min="13" max="13" width="27.9296875" style="22" bestFit="1" customWidth="1"/>
    <col min="14" max="14" width="24.796875" style="22" bestFit="1" customWidth="1"/>
    <col min="15" max="16384" width="9.06640625" style="22"/>
  </cols>
  <sheetData>
    <row r="1" spans="1:14" x14ac:dyDescent="0.55000000000000004">
      <c r="A1" s="2" t="s">
        <v>27</v>
      </c>
      <c r="B1" s="171" t="s">
        <v>579</v>
      </c>
      <c r="C1" s="169"/>
      <c r="D1" s="169"/>
      <c r="E1" s="169"/>
      <c r="F1" s="169"/>
      <c r="G1" s="193"/>
      <c r="H1" s="193"/>
      <c r="I1" s="287" t="e" vm="1">
        <v>#VALUE!</v>
      </c>
      <c r="K1" s="166"/>
      <c r="N1" s="182" t="s">
        <v>151</v>
      </c>
    </row>
    <row r="2" spans="1:14" x14ac:dyDescent="0.55000000000000004">
      <c r="A2" s="267" t="str">
        <f>""&amp;Status!$A$2</f>
        <v/>
      </c>
      <c r="B2" s="172" t="s">
        <v>610</v>
      </c>
      <c r="C2" s="169"/>
      <c r="D2" s="169"/>
      <c r="E2" s="169"/>
      <c r="F2" s="169"/>
      <c r="G2" s="193"/>
      <c r="H2" s="193"/>
      <c r="I2" s="287"/>
      <c r="N2" s="22" t="s">
        <v>256</v>
      </c>
    </row>
    <row r="3" spans="1:14" x14ac:dyDescent="0.55000000000000004">
      <c r="A3" s="169"/>
      <c r="B3" s="8"/>
      <c r="C3" s="170"/>
      <c r="D3" s="170"/>
      <c r="E3" s="170"/>
      <c r="F3" s="169"/>
      <c r="G3" s="169"/>
      <c r="H3" s="169"/>
      <c r="I3" s="174"/>
      <c r="N3" s="22" t="s">
        <v>258</v>
      </c>
    </row>
    <row r="4" spans="1:14" ht="16.899999999999999" thickBot="1" x14ac:dyDescent="0.65">
      <c r="A4" s="276" t="s">
        <v>629</v>
      </c>
      <c r="B4" s="277"/>
      <c r="C4" s="282"/>
      <c r="D4" s="184"/>
      <c r="E4" s="184"/>
      <c r="F4" s="276" t="s">
        <v>632</v>
      </c>
      <c r="G4" s="277"/>
      <c r="H4" s="183" t="s">
        <v>258</v>
      </c>
      <c r="I4" s="194" t="s">
        <v>466</v>
      </c>
      <c r="K4" s="275"/>
      <c r="L4" s="182" t="s">
        <v>149</v>
      </c>
      <c r="M4" s="182" t="s">
        <v>150</v>
      </c>
      <c r="N4" s="22" t="s">
        <v>257</v>
      </c>
    </row>
    <row r="5" spans="1:14" ht="16.899999999999999" thickBot="1" x14ac:dyDescent="0.65">
      <c r="A5" s="168" t="s">
        <v>630</v>
      </c>
      <c r="B5" s="288" t="s">
        <v>262</v>
      </c>
      <c r="C5" s="289"/>
      <c r="D5" s="184"/>
      <c r="E5" s="186"/>
      <c r="F5" s="175" t="s">
        <v>467</v>
      </c>
      <c r="G5" s="176" t="s">
        <v>468</v>
      </c>
      <c r="H5" s="187" t="s">
        <v>637</v>
      </c>
      <c r="I5" s="179" t="s">
        <v>469</v>
      </c>
      <c r="L5" s="22">
        <v>0</v>
      </c>
      <c r="M5" s="22" t="s">
        <v>152</v>
      </c>
      <c r="N5" s="22" t="s">
        <v>263</v>
      </c>
    </row>
    <row r="6" spans="1:14" x14ac:dyDescent="0.55000000000000004">
      <c r="A6" s="173" t="s">
        <v>631</v>
      </c>
      <c r="B6" s="192" t="s">
        <v>635</v>
      </c>
      <c r="C6" s="195" t="s">
        <v>193</v>
      </c>
      <c r="D6" s="184"/>
      <c r="E6" s="186"/>
      <c r="F6" s="175" t="s">
        <v>634</v>
      </c>
      <c r="G6" s="176" t="s">
        <v>701</v>
      </c>
      <c r="H6" s="187" t="s">
        <v>638</v>
      </c>
      <c r="I6" s="180" t="s">
        <v>470</v>
      </c>
      <c r="L6" s="22">
        <v>1</v>
      </c>
      <c r="M6" s="22" t="s">
        <v>154</v>
      </c>
      <c r="N6" s="22" t="s">
        <v>264</v>
      </c>
    </row>
    <row r="7" spans="1:14" ht="16.5" x14ac:dyDescent="0.6">
      <c r="A7" s="173" t="str" cm="1">
        <f t="array" ref="A7:A75">N2:N70</f>
        <v>MarketDataType</v>
      </c>
      <c r="B7" s="187" t="s">
        <v>636</v>
      </c>
      <c r="C7" s="196" t="s">
        <v>259</v>
      </c>
      <c r="D7" s="185"/>
      <c r="E7" s="185"/>
      <c r="F7" s="175" t="s">
        <v>471</v>
      </c>
      <c r="G7" s="270" t="str">
        <f ca="1">"ES@CME/FUT/"&amp;INT(ExampleExpiry/100)&amp;"/USD"</f>
        <v>ES@CME/FUT/202612/USD</v>
      </c>
      <c r="H7" s="187" t="s">
        <v>639</v>
      </c>
      <c r="I7" s="180" t="s">
        <v>472</v>
      </c>
      <c r="L7" s="22">
        <v>2</v>
      </c>
      <c r="M7" s="22" t="s">
        <v>156</v>
      </c>
      <c r="N7" s="22" t="s">
        <v>265</v>
      </c>
    </row>
    <row r="8" spans="1:14" x14ac:dyDescent="0.55000000000000004">
      <c r="A8" s="173" t="str">
        <v>MarketPrice</v>
      </c>
      <c r="B8" s="188"/>
      <c r="C8" s="197" t="s">
        <v>465</v>
      </c>
      <c r="F8" s="175" t="s">
        <v>473</v>
      </c>
      <c r="G8" s="270" t="str">
        <f ca="1">"SPY@SMART/OPT/"&amp;ExampleExpiry&amp;"/C/680/USD"</f>
        <v>SPY@SMART/OPT/20261218/C/680/USD</v>
      </c>
      <c r="H8" s="187" t="s">
        <v>640</v>
      </c>
      <c r="I8" s="180" t="s">
        <v>474</v>
      </c>
      <c r="L8" s="22">
        <v>3</v>
      </c>
      <c r="M8" s="22" t="s">
        <v>158</v>
      </c>
      <c r="N8" s="22" t="s">
        <v>266</v>
      </c>
    </row>
    <row r="9" spans="1:14" x14ac:dyDescent="0.55000000000000004">
      <c r="A9" s="173" t="str">
        <v>LastOrClose</v>
      </c>
      <c r="B9" s="188"/>
      <c r="C9" s="197" t="s">
        <v>254</v>
      </c>
      <c r="F9" s="175" t="s">
        <v>633</v>
      </c>
      <c r="G9" s="270" t="str">
        <f ca="1">"SPY|OPT|"&amp;ExampleExpiry&amp;"|C|680"</f>
        <v>SPY|OPT|20261218|C|680</v>
      </c>
      <c r="H9" s="187" t="s">
        <v>641</v>
      </c>
      <c r="I9" s="180" t="s">
        <v>475</v>
      </c>
      <c r="L9" s="22">
        <v>4</v>
      </c>
      <c r="M9" s="22" t="s">
        <v>160</v>
      </c>
      <c r="N9" s="22" t="s">
        <v>267</v>
      </c>
    </row>
    <row r="10" spans="1:14" x14ac:dyDescent="0.55000000000000004">
      <c r="A10" s="173" t="str">
        <v>BIDSIZE</v>
      </c>
      <c r="B10" s="189"/>
      <c r="C10" s="197" t="s">
        <v>153</v>
      </c>
      <c r="F10" s="175" t="s">
        <v>476</v>
      </c>
      <c r="G10" s="176" t="s">
        <v>477</v>
      </c>
      <c r="H10" s="187" t="s">
        <v>642</v>
      </c>
      <c r="I10" s="180" t="s">
        <v>478</v>
      </c>
      <c r="L10" s="22">
        <v>5</v>
      </c>
      <c r="M10" s="22" t="s">
        <v>162</v>
      </c>
      <c r="N10" s="22" t="s">
        <v>268</v>
      </c>
    </row>
    <row r="11" spans="1:14" x14ac:dyDescent="0.55000000000000004">
      <c r="A11" s="173" t="str">
        <v>BID</v>
      </c>
      <c r="B11" s="188"/>
      <c r="C11" s="197" t="s">
        <v>155</v>
      </c>
      <c r="F11" s="177" t="s">
        <v>479</v>
      </c>
      <c r="G11" s="178" t="s">
        <v>480</v>
      </c>
      <c r="H11" s="191" t="s">
        <v>643</v>
      </c>
      <c r="I11" s="181" t="s">
        <v>553</v>
      </c>
      <c r="L11" s="22">
        <v>6</v>
      </c>
      <c r="M11" s="22" t="s">
        <v>164</v>
      </c>
      <c r="N11" s="22" t="s">
        <v>269</v>
      </c>
    </row>
    <row r="12" spans="1:14" x14ac:dyDescent="0.55000000000000004">
      <c r="A12" s="173" t="str">
        <v>ASK</v>
      </c>
      <c r="B12" s="188"/>
      <c r="C12" s="197" t="s">
        <v>157</v>
      </c>
      <c r="G12" s="167" t="s">
        <v>574</v>
      </c>
      <c r="L12" s="22">
        <v>7</v>
      </c>
      <c r="M12" s="22" t="s">
        <v>166</v>
      </c>
      <c r="N12" s="22" t="s">
        <v>270</v>
      </c>
    </row>
    <row r="13" spans="1:14" x14ac:dyDescent="0.55000000000000004">
      <c r="A13" s="173" t="str">
        <v>ASKSIZE</v>
      </c>
      <c r="B13" s="189"/>
      <c r="C13" s="197" t="s">
        <v>159</v>
      </c>
      <c r="L13" s="22">
        <v>8</v>
      </c>
      <c r="M13" s="22" t="s">
        <v>168</v>
      </c>
      <c r="N13" s="22" t="s">
        <v>271</v>
      </c>
    </row>
    <row r="14" spans="1:14" x14ac:dyDescent="0.55000000000000004">
      <c r="A14" s="173" t="str">
        <v>LAST</v>
      </c>
      <c r="B14" s="188"/>
      <c r="C14" s="197" t="s">
        <v>161</v>
      </c>
      <c r="L14" s="22">
        <v>9</v>
      </c>
      <c r="M14" s="22" t="s">
        <v>170</v>
      </c>
      <c r="N14" s="22" t="s">
        <v>272</v>
      </c>
    </row>
    <row r="15" spans="1:14" x14ac:dyDescent="0.55000000000000004">
      <c r="A15" s="173" t="str">
        <v>LASTSIZE</v>
      </c>
      <c r="B15" s="189"/>
      <c r="C15" s="197" t="s">
        <v>163</v>
      </c>
      <c r="L15" s="22">
        <v>14</v>
      </c>
      <c r="M15" s="22" t="s">
        <v>172</v>
      </c>
      <c r="N15" s="22" t="s">
        <v>273</v>
      </c>
    </row>
    <row r="16" spans="1:14" x14ac:dyDescent="0.55000000000000004">
      <c r="A16" s="173" t="str">
        <v>HIGH</v>
      </c>
      <c r="B16" s="188"/>
      <c r="C16" s="197" t="s">
        <v>165</v>
      </c>
      <c r="L16" s="22">
        <v>15</v>
      </c>
      <c r="M16" s="22" t="s">
        <v>196</v>
      </c>
      <c r="N16" s="22" t="s">
        <v>274</v>
      </c>
    </row>
    <row r="17" spans="1:14" x14ac:dyDescent="0.55000000000000004">
      <c r="A17" s="173" t="str">
        <v>LOW</v>
      </c>
      <c r="B17" s="188"/>
      <c r="C17" s="197" t="s">
        <v>167</v>
      </c>
      <c r="L17" s="22">
        <v>16</v>
      </c>
      <c r="M17" s="22" t="s">
        <v>198</v>
      </c>
      <c r="N17" s="22" t="s">
        <v>275</v>
      </c>
    </row>
    <row r="18" spans="1:14" x14ac:dyDescent="0.55000000000000004">
      <c r="A18" s="173" t="str">
        <v>VOLUME</v>
      </c>
      <c r="B18" s="189"/>
      <c r="C18" s="197" t="s">
        <v>169</v>
      </c>
      <c r="L18" s="22">
        <v>17</v>
      </c>
      <c r="M18" s="22" t="s">
        <v>200</v>
      </c>
      <c r="N18" s="22" t="s">
        <v>276</v>
      </c>
    </row>
    <row r="19" spans="1:14" x14ac:dyDescent="0.55000000000000004">
      <c r="A19" s="173" t="str">
        <v>CLOSE</v>
      </c>
      <c r="B19" s="188"/>
      <c r="C19" s="197" t="s">
        <v>171</v>
      </c>
      <c r="L19" s="22">
        <v>18</v>
      </c>
      <c r="M19" s="22" t="s">
        <v>202</v>
      </c>
      <c r="N19" s="22" t="s">
        <v>277</v>
      </c>
    </row>
    <row r="20" spans="1:14" x14ac:dyDescent="0.55000000000000004">
      <c r="A20" s="173" t="str">
        <v>OPEN</v>
      </c>
      <c r="B20" s="188"/>
      <c r="C20" s="197" t="s">
        <v>173</v>
      </c>
      <c r="L20" s="22">
        <v>19</v>
      </c>
      <c r="M20" s="22" t="s">
        <v>204</v>
      </c>
      <c r="N20" s="22" t="s">
        <v>278</v>
      </c>
    </row>
    <row r="21" spans="1:14" x14ac:dyDescent="0.55000000000000004">
      <c r="A21" s="173" t="str">
        <v>WEEK13LO</v>
      </c>
      <c r="B21" s="188"/>
      <c r="C21" s="197" t="s">
        <v>197</v>
      </c>
      <c r="L21" s="22">
        <v>20</v>
      </c>
      <c r="M21" s="22" t="s">
        <v>206</v>
      </c>
      <c r="N21" s="22" t="s">
        <v>279</v>
      </c>
    </row>
    <row r="22" spans="1:14" x14ac:dyDescent="0.55000000000000004">
      <c r="A22" s="173" t="str">
        <v>WEEK13HI</v>
      </c>
      <c r="B22" s="188"/>
      <c r="C22" s="197" t="s">
        <v>199</v>
      </c>
      <c r="L22" s="22">
        <v>21</v>
      </c>
      <c r="M22" s="22" t="s">
        <v>208</v>
      </c>
      <c r="N22" s="22" t="s">
        <v>280</v>
      </c>
    </row>
    <row r="23" spans="1:14" x14ac:dyDescent="0.55000000000000004">
      <c r="A23" s="173" t="str">
        <v>WEEK26LO</v>
      </c>
      <c r="B23" s="188"/>
      <c r="C23" s="197" t="s">
        <v>201</v>
      </c>
      <c r="L23" s="22">
        <v>23</v>
      </c>
      <c r="M23" s="22" t="s">
        <v>217</v>
      </c>
      <c r="N23" s="22" t="s">
        <v>281</v>
      </c>
    </row>
    <row r="24" spans="1:14" x14ac:dyDescent="0.55000000000000004">
      <c r="A24" s="173" t="str">
        <v>WEEK26HI</v>
      </c>
      <c r="B24" s="188"/>
      <c r="C24" s="197" t="s">
        <v>203</v>
      </c>
      <c r="L24" s="22">
        <v>24</v>
      </c>
      <c r="M24" s="22" t="s">
        <v>218</v>
      </c>
      <c r="N24" s="22" t="s">
        <v>282</v>
      </c>
    </row>
    <row r="25" spans="1:14" x14ac:dyDescent="0.55000000000000004">
      <c r="A25" s="173" t="str">
        <v>WEEK52LO</v>
      </c>
      <c r="B25" s="188"/>
      <c r="C25" s="197" t="s">
        <v>205</v>
      </c>
      <c r="L25" s="22">
        <v>27</v>
      </c>
      <c r="M25" s="22" t="s">
        <v>210</v>
      </c>
      <c r="N25" s="22" t="s">
        <v>283</v>
      </c>
    </row>
    <row r="26" spans="1:14" x14ac:dyDescent="0.55000000000000004">
      <c r="A26" s="173" t="str">
        <v>WEEK52HI</v>
      </c>
      <c r="B26" s="188"/>
      <c r="C26" s="197" t="s">
        <v>207</v>
      </c>
      <c r="L26" s="22">
        <v>28</v>
      </c>
      <c r="M26" s="22" t="s">
        <v>211</v>
      </c>
      <c r="N26" s="22" t="s">
        <v>284</v>
      </c>
    </row>
    <row r="27" spans="1:14" x14ac:dyDescent="0.55000000000000004">
      <c r="A27" s="173" t="str">
        <v>AVGVOLUME</v>
      </c>
      <c r="B27" s="189"/>
      <c r="C27" s="197" t="s">
        <v>209</v>
      </c>
      <c r="L27" s="22">
        <v>29</v>
      </c>
      <c r="M27" s="22" t="s">
        <v>212</v>
      </c>
      <c r="N27" s="22" t="s">
        <v>285</v>
      </c>
    </row>
    <row r="28" spans="1:14" x14ac:dyDescent="0.55000000000000004">
      <c r="A28" s="173" t="str">
        <v>OPTIONHISTORICALVOL</v>
      </c>
      <c r="B28" s="190"/>
      <c r="C28" s="197" t="s">
        <v>496</v>
      </c>
      <c r="L28" s="22">
        <v>30</v>
      </c>
      <c r="M28" s="22" t="s">
        <v>214</v>
      </c>
      <c r="N28" s="22" t="s">
        <v>286</v>
      </c>
    </row>
    <row r="29" spans="1:14" x14ac:dyDescent="0.55000000000000004">
      <c r="A29" s="173" t="str">
        <v>OPTIONIMPLIEDVOL</v>
      </c>
      <c r="B29" s="190"/>
      <c r="C29" s="197" t="s">
        <v>497</v>
      </c>
      <c r="L29" s="22">
        <v>31</v>
      </c>
      <c r="M29" s="22" t="s">
        <v>245</v>
      </c>
      <c r="N29" s="22" t="s">
        <v>287</v>
      </c>
    </row>
    <row r="30" spans="1:14" x14ac:dyDescent="0.55000000000000004">
      <c r="A30" s="173" t="str">
        <v>CALLOPTIONOPENINTEREST</v>
      </c>
      <c r="B30" s="189"/>
      <c r="C30" s="197" t="s">
        <v>575</v>
      </c>
      <c r="L30" s="22">
        <v>32</v>
      </c>
      <c r="M30" s="22" t="s">
        <v>187</v>
      </c>
      <c r="N30" s="22" t="s">
        <v>288</v>
      </c>
    </row>
    <row r="31" spans="1:14" x14ac:dyDescent="0.55000000000000004">
      <c r="A31" s="173" t="str">
        <v>PUTOPTIONOPENINTEREST</v>
      </c>
      <c r="B31" s="189"/>
      <c r="C31" s="197" t="s">
        <v>576</v>
      </c>
      <c r="L31" s="22">
        <v>33</v>
      </c>
      <c r="M31" s="22" t="s">
        <v>189</v>
      </c>
      <c r="N31" s="22" t="s">
        <v>289</v>
      </c>
    </row>
    <row r="32" spans="1:14" x14ac:dyDescent="0.55000000000000004">
      <c r="A32" s="173" t="str">
        <v>CALLOPTIONVOLUME</v>
      </c>
      <c r="B32" s="189"/>
      <c r="C32" s="197" t="s">
        <v>213</v>
      </c>
      <c r="L32" s="22">
        <v>34</v>
      </c>
      <c r="M32" s="22" t="s">
        <v>224</v>
      </c>
      <c r="N32" s="22" t="s">
        <v>290</v>
      </c>
    </row>
    <row r="33" spans="1:14" x14ac:dyDescent="0.55000000000000004">
      <c r="A33" s="173" t="str">
        <v>PUTOPTIONVOLUME</v>
      </c>
      <c r="B33" s="189"/>
      <c r="C33" s="197" t="s">
        <v>215</v>
      </c>
      <c r="L33" s="22">
        <v>35</v>
      </c>
      <c r="M33" s="22" t="s">
        <v>226</v>
      </c>
      <c r="N33" s="22" t="s">
        <v>291</v>
      </c>
    </row>
    <row r="34" spans="1:14" x14ac:dyDescent="0.55000000000000004">
      <c r="A34" s="173" t="str">
        <v>INDEXFUTUREPREMIUM</v>
      </c>
      <c r="B34" s="187"/>
      <c r="C34" s="197" t="s">
        <v>498</v>
      </c>
      <c r="L34" s="22">
        <v>36</v>
      </c>
      <c r="M34" s="22" t="s">
        <v>228</v>
      </c>
      <c r="N34" s="22" t="s">
        <v>292</v>
      </c>
    </row>
    <row r="35" spans="1:14" x14ac:dyDescent="0.55000000000000004">
      <c r="A35" s="173" t="str">
        <v>BIDEXCH</v>
      </c>
      <c r="B35" s="187"/>
      <c r="C35" s="197" t="s">
        <v>188</v>
      </c>
      <c r="L35" s="22">
        <v>37</v>
      </c>
      <c r="M35" s="22" t="s">
        <v>232</v>
      </c>
      <c r="N35" s="22" t="s">
        <v>293</v>
      </c>
    </row>
    <row r="36" spans="1:14" x14ac:dyDescent="0.55000000000000004">
      <c r="A36" s="173" t="str">
        <v>ASKEXCH</v>
      </c>
      <c r="B36" s="187"/>
      <c r="C36" s="197" t="s">
        <v>190</v>
      </c>
      <c r="L36" s="22">
        <v>46</v>
      </c>
      <c r="M36" s="22" t="s">
        <v>220</v>
      </c>
      <c r="N36" s="22" t="s">
        <v>294</v>
      </c>
    </row>
    <row r="37" spans="1:14" x14ac:dyDescent="0.55000000000000004">
      <c r="A37" s="173" t="str">
        <v>AUCTIONVOLUME</v>
      </c>
      <c r="B37" s="187"/>
      <c r="C37" s="197" t="s">
        <v>225</v>
      </c>
      <c r="L37" s="22">
        <v>49</v>
      </c>
      <c r="M37" s="22" t="s">
        <v>194</v>
      </c>
      <c r="N37" s="22" t="s">
        <v>295</v>
      </c>
    </row>
    <row r="38" spans="1:14" x14ac:dyDescent="0.55000000000000004">
      <c r="A38" s="173" t="str">
        <v>AUCTIONPRICE</v>
      </c>
      <c r="B38" s="187"/>
      <c r="C38" s="197" t="s">
        <v>227</v>
      </c>
      <c r="L38" s="22">
        <v>54</v>
      </c>
      <c r="M38" s="22" t="s">
        <v>235</v>
      </c>
      <c r="N38" s="22" t="s">
        <v>296</v>
      </c>
    </row>
    <row r="39" spans="1:14" x14ac:dyDescent="0.55000000000000004">
      <c r="A39" s="173" t="str">
        <v>AUCTIONIMBALANCE</v>
      </c>
      <c r="B39" s="188"/>
      <c r="C39" s="197" t="s">
        <v>229</v>
      </c>
      <c r="L39" s="22">
        <v>55</v>
      </c>
      <c r="M39" s="22" t="s">
        <v>236</v>
      </c>
      <c r="N39" s="22" t="s">
        <v>297</v>
      </c>
    </row>
    <row r="40" spans="1:14" x14ac:dyDescent="0.55000000000000004">
      <c r="A40" s="173" t="str">
        <v>PLPRICE</v>
      </c>
      <c r="B40" s="188"/>
      <c r="C40" s="197" t="s">
        <v>499</v>
      </c>
      <c r="L40" s="22">
        <v>56</v>
      </c>
      <c r="M40" s="22" t="s">
        <v>237</v>
      </c>
      <c r="N40" s="22" t="s">
        <v>298</v>
      </c>
    </row>
    <row r="41" spans="1:14" x14ac:dyDescent="0.55000000000000004">
      <c r="A41" s="173" t="str">
        <v>SHORTABLE</v>
      </c>
      <c r="B41" s="188"/>
      <c r="C41" s="197" t="s">
        <v>221</v>
      </c>
      <c r="L41" s="22">
        <v>57</v>
      </c>
      <c r="M41" s="22" t="s">
        <v>238</v>
      </c>
      <c r="N41" s="22" t="s">
        <v>299</v>
      </c>
    </row>
    <row r="42" spans="1:14" x14ac:dyDescent="0.55000000000000004">
      <c r="A42" s="173" t="str">
        <v>HALTED</v>
      </c>
      <c r="B42" s="187"/>
      <c r="C42" s="197" t="s">
        <v>195</v>
      </c>
      <c r="L42" s="22">
        <v>58</v>
      </c>
      <c r="M42" s="22" t="s">
        <v>219</v>
      </c>
      <c r="N42" s="22" t="s">
        <v>300</v>
      </c>
    </row>
    <row r="43" spans="1:14" x14ac:dyDescent="0.55000000000000004">
      <c r="A43" s="173" t="str">
        <v>TRADECOUNT</v>
      </c>
      <c r="B43" s="189"/>
      <c r="C43" s="197" t="s">
        <v>500</v>
      </c>
      <c r="L43" s="22">
        <v>59</v>
      </c>
      <c r="M43" s="22" t="s">
        <v>252</v>
      </c>
      <c r="N43" s="22" t="s">
        <v>301</v>
      </c>
    </row>
    <row r="44" spans="1:14" x14ac:dyDescent="0.55000000000000004">
      <c r="A44" s="173" t="str">
        <v>TRADERATE</v>
      </c>
      <c r="B44" s="189"/>
      <c r="C44" s="197" t="s">
        <v>501</v>
      </c>
      <c r="L44" s="22">
        <v>60</v>
      </c>
      <c r="M44" s="22" t="s">
        <v>253</v>
      </c>
      <c r="N44" s="22" t="s">
        <v>302</v>
      </c>
    </row>
    <row r="45" spans="1:14" x14ac:dyDescent="0.55000000000000004">
      <c r="A45" s="173" t="str">
        <v>VOLUMERATE</v>
      </c>
      <c r="B45" s="189"/>
      <c r="C45" s="197" t="s">
        <v>502</v>
      </c>
      <c r="L45" s="22">
        <v>61</v>
      </c>
      <c r="M45" s="22" t="s">
        <v>230</v>
      </c>
      <c r="N45" s="22" t="s">
        <v>303</v>
      </c>
    </row>
    <row r="46" spans="1:14" x14ac:dyDescent="0.55000000000000004">
      <c r="A46" s="173" t="str">
        <v>LASTRTHTRADE</v>
      </c>
      <c r="B46" s="187"/>
      <c r="C46" s="197" t="s">
        <v>503</v>
      </c>
      <c r="L46" s="22">
        <v>63</v>
      </c>
      <c r="M46" s="22" t="s">
        <v>239</v>
      </c>
      <c r="N46" s="22" t="s">
        <v>304</v>
      </c>
    </row>
    <row r="47" spans="1:14" x14ac:dyDescent="0.55000000000000004">
      <c r="A47" s="173" t="str">
        <v>RTHISTORICALVOL</v>
      </c>
      <c r="B47" s="187"/>
      <c r="C47" s="197" t="s">
        <v>504</v>
      </c>
      <c r="L47" s="22">
        <v>64</v>
      </c>
      <c r="M47" s="22" t="s">
        <v>241</v>
      </c>
      <c r="N47" s="22" t="s">
        <v>305</v>
      </c>
    </row>
    <row r="48" spans="1:14" x14ac:dyDescent="0.55000000000000004">
      <c r="A48" s="173" t="str">
        <v>IBDIVIDENDS</v>
      </c>
      <c r="B48" s="187"/>
      <c r="C48" s="197" t="s">
        <v>505</v>
      </c>
      <c r="L48" s="22">
        <v>65</v>
      </c>
      <c r="M48" s="22" t="s">
        <v>243</v>
      </c>
      <c r="N48" s="22" t="s">
        <v>306</v>
      </c>
    </row>
    <row r="49" spans="1:14" x14ac:dyDescent="0.55000000000000004">
      <c r="A49" s="173" t="str">
        <v>BONDMULTIPLIER</v>
      </c>
      <c r="B49" s="187"/>
      <c r="C49" s="197" t="s">
        <v>506</v>
      </c>
      <c r="L49" s="22">
        <v>66</v>
      </c>
      <c r="M49" s="22" t="s">
        <v>174</v>
      </c>
      <c r="N49" s="22" t="s">
        <v>307</v>
      </c>
    </row>
    <row r="50" spans="1:14" x14ac:dyDescent="0.55000000000000004">
      <c r="A50" s="173" t="str">
        <v>REGULATORYIMBALANCE</v>
      </c>
      <c r="B50" s="187"/>
      <c r="C50" s="197" t="s">
        <v>231</v>
      </c>
      <c r="L50" s="22">
        <v>67</v>
      </c>
      <c r="M50" s="22" t="s">
        <v>175</v>
      </c>
      <c r="N50" s="22" t="s">
        <v>308</v>
      </c>
    </row>
    <row r="51" spans="1:14" x14ac:dyDescent="0.55000000000000004">
      <c r="A51" s="173" t="str">
        <v>SHORTTERMVOLUME3MIN</v>
      </c>
      <c r="B51" s="189"/>
      <c r="C51" s="197" t="s">
        <v>240</v>
      </c>
      <c r="L51" s="22">
        <v>68</v>
      </c>
      <c r="M51" s="22" t="s">
        <v>176</v>
      </c>
      <c r="N51" s="22" t="s">
        <v>309</v>
      </c>
    </row>
    <row r="52" spans="1:14" x14ac:dyDescent="0.55000000000000004">
      <c r="A52" s="173" t="str">
        <v>SHORTTERMVOLUME5MIN</v>
      </c>
      <c r="B52" s="189"/>
      <c r="C52" s="197" t="s">
        <v>242</v>
      </c>
      <c r="L52" s="22">
        <v>69</v>
      </c>
      <c r="M52" s="22" t="s">
        <v>177</v>
      </c>
      <c r="N52" s="22" t="s">
        <v>310</v>
      </c>
    </row>
    <row r="53" spans="1:14" x14ac:dyDescent="0.55000000000000004">
      <c r="A53" s="173" t="str">
        <v>SHORTTERMVOLUME10MIN</v>
      </c>
      <c r="B53" s="189"/>
      <c r="C53" s="197" t="s">
        <v>244</v>
      </c>
      <c r="L53" s="22">
        <v>70</v>
      </c>
      <c r="M53" s="22" t="s">
        <v>178</v>
      </c>
      <c r="N53" s="22" t="s">
        <v>311</v>
      </c>
    </row>
    <row r="54" spans="1:14" x14ac:dyDescent="0.55000000000000004">
      <c r="A54" s="173" t="str">
        <v>DELAYEDBID</v>
      </c>
      <c r="B54" s="187"/>
      <c r="C54" s="197" t="s">
        <v>513</v>
      </c>
      <c r="L54" s="22">
        <v>71</v>
      </c>
      <c r="M54" s="22" t="s">
        <v>179</v>
      </c>
      <c r="N54" s="22" t="s">
        <v>312</v>
      </c>
    </row>
    <row r="55" spans="1:14" x14ac:dyDescent="0.55000000000000004">
      <c r="A55" s="173" t="str">
        <v>DELAYEDASK</v>
      </c>
      <c r="B55" s="187"/>
      <c r="C55" s="197" t="s">
        <v>514</v>
      </c>
      <c r="L55" s="22">
        <v>72</v>
      </c>
      <c r="M55" s="22" t="s">
        <v>180</v>
      </c>
      <c r="N55" s="22" t="s">
        <v>313</v>
      </c>
    </row>
    <row r="56" spans="1:14" x14ac:dyDescent="0.55000000000000004">
      <c r="A56" s="173" t="str">
        <v>DELAYEDLAST</v>
      </c>
      <c r="B56" s="187"/>
      <c r="C56" s="197" t="s">
        <v>515</v>
      </c>
      <c r="L56" s="22">
        <v>73</v>
      </c>
      <c r="M56" s="22" t="s">
        <v>181</v>
      </c>
      <c r="N56" s="22" t="s">
        <v>314</v>
      </c>
    </row>
    <row r="57" spans="1:14" x14ac:dyDescent="0.55000000000000004">
      <c r="A57" s="173" t="str">
        <v>DELAYEDBIDSIZE</v>
      </c>
      <c r="B57" s="187"/>
      <c r="C57" s="197" t="s">
        <v>516</v>
      </c>
      <c r="L57" s="22">
        <v>74</v>
      </c>
      <c r="M57" s="22" t="s">
        <v>182</v>
      </c>
      <c r="N57" s="22" t="s">
        <v>315</v>
      </c>
    </row>
    <row r="58" spans="1:14" x14ac:dyDescent="0.55000000000000004">
      <c r="A58" s="173" t="str">
        <v>DELAYEDASKSIZE</v>
      </c>
      <c r="B58" s="187"/>
      <c r="C58" s="197" t="s">
        <v>517</v>
      </c>
      <c r="L58" s="22">
        <v>75</v>
      </c>
      <c r="M58" s="22" t="s">
        <v>183</v>
      </c>
      <c r="N58" s="22" t="s">
        <v>316</v>
      </c>
    </row>
    <row r="59" spans="1:14" x14ac:dyDescent="0.55000000000000004">
      <c r="A59" s="173" t="str">
        <v>DELAYEDLASTSIZE</v>
      </c>
      <c r="B59" s="187"/>
      <c r="C59" s="197" t="s">
        <v>518</v>
      </c>
      <c r="L59" s="22">
        <v>76</v>
      </c>
      <c r="M59" s="22" t="s">
        <v>184</v>
      </c>
      <c r="N59" s="22" t="s">
        <v>317</v>
      </c>
    </row>
    <row r="60" spans="1:14" x14ac:dyDescent="0.55000000000000004">
      <c r="A60" s="173" t="str">
        <v>DELAYEDHIGH</v>
      </c>
      <c r="B60" s="187"/>
      <c r="C60" s="197" t="s">
        <v>519</v>
      </c>
      <c r="L60" s="22">
        <v>78</v>
      </c>
      <c r="M60" s="22" t="s">
        <v>233</v>
      </c>
      <c r="N60" s="22" t="s">
        <v>318</v>
      </c>
    </row>
    <row r="61" spans="1:14" x14ac:dyDescent="0.55000000000000004">
      <c r="A61" s="173" t="str">
        <v>DELAYEDLOW</v>
      </c>
      <c r="B61" s="187"/>
      <c r="C61" s="197" t="s">
        <v>520</v>
      </c>
      <c r="L61" s="22">
        <v>79</v>
      </c>
      <c r="M61" s="22" t="s">
        <v>234</v>
      </c>
      <c r="N61" s="22" t="s">
        <v>319</v>
      </c>
    </row>
    <row r="62" spans="1:14" x14ac:dyDescent="0.55000000000000004">
      <c r="A62" s="173" t="str">
        <v>DELAYEDVOLUME</v>
      </c>
      <c r="B62" s="187"/>
      <c r="C62" s="197" t="s">
        <v>521</v>
      </c>
      <c r="L62" s="22">
        <v>84</v>
      </c>
      <c r="M62" s="22" t="s">
        <v>191</v>
      </c>
      <c r="N62" s="22" t="s">
        <v>320</v>
      </c>
    </row>
    <row r="63" spans="1:14" x14ac:dyDescent="0.55000000000000004">
      <c r="A63" s="173" t="str">
        <v>DELAYEDCLOSE</v>
      </c>
      <c r="B63" s="187"/>
      <c r="C63" s="197" t="s">
        <v>522</v>
      </c>
      <c r="L63" s="22">
        <v>86</v>
      </c>
      <c r="M63" s="22" t="s">
        <v>246</v>
      </c>
      <c r="N63" s="22" t="s">
        <v>321</v>
      </c>
    </row>
    <row r="64" spans="1:14" x14ac:dyDescent="0.55000000000000004">
      <c r="A64" s="173" t="str">
        <v>DELAYEDOPEN</v>
      </c>
      <c r="B64" s="187"/>
      <c r="C64" s="197" t="s">
        <v>523</v>
      </c>
      <c r="L64" s="22">
        <v>87</v>
      </c>
      <c r="M64" s="22" t="s">
        <v>216</v>
      </c>
      <c r="N64" s="22" t="s">
        <v>322</v>
      </c>
    </row>
    <row r="65" spans="1:14" x14ac:dyDescent="0.55000000000000004">
      <c r="A65" s="173" t="str">
        <v>CREDITMANMARKPRICE</v>
      </c>
      <c r="B65" s="187"/>
      <c r="C65" s="197" t="s">
        <v>507</v>
      </c>
      <c r="L65" s="22">
        <v>88</v>
      </c>
      <c r="M65" s="22" t="s">
        <v>185</v>
      </c>
      <c r="N65" s="22" t="s">
        <v>323</v>
      </c>
    </row>
    <row r="66" spans="1:14" x14ac:dyDescent="0.55000000000000004">
      <c r="A66" s="173" t="str">
        <v>CREDITMANSLOWMARKPRICE</v>
      </c>
      <c r="B66" s="187"/>
      <c r="C66" s="197" t="s">
        <v>508</v>
      </c>
      <c r="L66" s="22">
        <v>89</v>
      </c>
      <c r="M66" s="22" t="s">
        <v>222</v>
      </c>
      <c r="N66" s="22" t="s">
        <v>324</v>
      </c>
    </row>
    <row r="67" spans="1:14" x14ac:dyDescent="0.55000000000000004">
      <c r="A67" s="173" t="str">
        <v>LASTEXCH</v>
      </c>
      <c r="B67" s="187"/>
      <c r="C67" s="197" t="s">
        <v>192</v>
      </c>
      <c r="L67" s="22">
        <v>90</v>
      </c>
      <c r="M67" s="22" t="s">
        <v>186</v>
      </c>
      <c r="N67" s="22" t="s">
        <v>325</v>
      </c>
    </row>
    <row r="68" spans="1:14" x14ac:dyDescent="0.55000000000000004">
      <c r="A68" s="173" t="str">
        <v>FUTURESOPENINTEREST</v>
      </c>
      <c r="B68" s="187"/>
      <c r="C68" s="197" t="s">
        <v>509</v>
      </c>
      <c r="L68" s="22">
        <v>96</v>
      </c>
      <c r="M68" s="22" t="s">
        <v>247</v>
      </c>
      <c r="N68" s="22" t="s">
        <v>326</v>
      </c>
    </row>
    <row r="69" spans="1:14" x14ac:dyDescent="0.55000000000000004">
      <c r="A69" s="173" t="str">
        <v>AVGOPTVOLUME</v>
      </c>
      <c r="B69" s="189"/>
      <c r="C69" s="197" t="s">
        <v>712</v>
      </c>
      <c r="K69" s="23"/>
      <c r="L69" s="22">
        <v>101</v>
      </c>
      <c r="M69" s="22" t="s">
        <v>248</v>
      </c>
      <c r="N69" s="22" t="s">
        <v>327</v>
      </c>
    </row>
    <row r="70" spans="1:14" x14ac:dyDescent="0.55000000000000004">
      <c r="A70" s="173" t="str">
        <v>DELAYEDLASTTIMESTAMP</v>
      </c>
      <c r="B70" s="189"/>
      <c r="C70" s="197" t="s">
        <v>510</v>
      </c>
      <c r="K70" s="23"/>
      <c r="L70" s="22">
        <v>102</v>
      </c>
      <c r="M70" s="22" t="s">
        <v>250</v>
      </c>
      <c r="N70" s="22" t="s">
        <v>328</v>
      </c>
    </row>
    <row r="71" spans="1:14" x14ac:dyDescent="0.55000000000000004">
      <c r="A71" s="173" t="str">
        <v>SHORTABLESHARES</v>
      </c>
      <c r="B71" s="189"/>
      <c r="C71" s="197" t="s">
        <v>223</v>
      </c>
    </row>
    <row r="72" spans="1:14" x14ac:dyDescent="0.55000000000000004">
      <c r="A72" s="173" t="str">
        <v>DELAYEDHALTED</v>
      </c>
      <c r="B72" s="187"/>
      <c r="C72" s="197" t="s">
        <v>511</v>
      </c>
    </row>
    <row r="73" spans="1:14" x14ac:dyDescent="0.55000000000000004">
      <c r="A73" s="173" t="str">
        <v>ETFNAVLAST</v>
      </c>
      <c r="B73" s="187"/>
      <c r="C73" s="197" t="s">
        <v>512</v>
      </c>
    </row>
    <row r="74" spans="1:14" x14ac:dyDescent="0.55000000000000004">
      <c r="A74" s="173" t="str">
        <v>ESTIMATEDIPOMIDPOINT</v>
      </c>
      <c r="B74" s="187"/>
      <c r="C74" s="197" t="s">
        <v>249</v>
      </c>
    </row>
    <row r="75" spans="1:14" x14ac:dyDescent="0.55000000000000004">
      <c r="A75" s="173" t="str">
        <v>FINALIPOLAST</v>
      </c>
      <c r="B75" s="187"/>
      <c r="C75" s="197" t="s">
        <v>251</v>
      </c>
    </row>
  </sheetData>
  <sortState xmlns:xlrd2="http://schemas.microsoft.com/office/spreadsheetml/2017/richdata2" ref="G9:I77">
    <sortCondition ref="G7:G77"/>
  </sortState>
  <mergeCells count="4">
    <mergeCell ref="I1:I2"/>
    <mergeCell ref="A4:C4"/>
    <mergeCell ref="B5:C5"/>
    <mergeCell ref="F4:G4"/>
  </mergeCells>
  <conditionalFormatting sqref="F5:I11 A6:C75">
    <cfRule type="expression" dxfId="21" priority="2">
      <formula>ISODD(ROW())</formula>
    </cfRule>
  </conditionalFormatting>
  <pageMargins left="0.7" right="0.7" top="0.75" bottom="0.75" header="0.3" footer="0.3"/>
  <pageSetup orientation="portrait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464"/>
  <sheetViews>
    <sheetView showGridLines="0" zoomScaleNormal="100" workbookViewId="0"/>
  </sheetViews>
  <sheetFormatPr defaultRowHeight="14.25" x14ac:dyDescent="0.45"/>
  <cols>
    <col min="1" max="1" width="18.19921875" style="227" customWidth="1"/>
    <col min="2" max="2" width="11.19921875" style="201" customWidth="1"/>
    <col min="3" max="3" width="9.06640625" style="215"/>
    <col min="4" max="4" width="9.06640625" style="216"/>
    <col min="5" max="6" width="9.06640625" style="201"/>
    <col min="7" max="8" width="9.06640625" style="217"/>
    <col min="9" max="9" width="9.06640625" style="201"/>
    <col min="10" max="10" width="9.06640625" style="220"/>
    <col min="11" max="11" width="9.06640625" style="201"/>
    <col min="12" max="13" width="9.06640625" style="217"/>
    <col min="14" max="15" width="9.06640625" style="201"/>
    <col min="16" max="16" width="9.06640625" style="216"/>
    <col min="17" max="17" width="9.06640625" style="218"/>
    <col min="18" max="19" width="9.06640625" style="201"/>
    <col min="20" max="20" width="8.19921875" style="201" bestFit="1" customWidth="1"/>
    <col min="21" max="21" width="9.06640625" style="221"/>
    <col min="22" max="22" width="9.06640625" style="201"/>
    <col min="23" max="23" width="11.86328125" style="201" bestFit="1" customWidth="1"/>
    <col min="24" max="16384" width="9.06640625" style="201"/>
  </cols>
  <sheetData>
    <row r="1" spans="1:24" ht="15.4" x14ac:dyDescent="0.55000000000000004">
      <c r="A1" s="224" t="s">
        <v>27</v>
      </c>
      <c r="B1" s="7" t="s">
        <v>579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293" t="e" vm="1">
        <v>#VALUE!</v>
      </c>
      <c r="P1" s="293"/>
      <c r="Q1" s="293"/>
      <c r="S1" s="202"/>
      <c r="T1" s="222" t="s">
        <v>648</v>
      </c>
      <c r="U1" s="203" t="s">
        <v>652</v>
      </c>
      <c r="V1" s="203">
        <f>_xlfn.XMATCH(J3,U:U,1,2)</f>
        <v>1</v>
      </c>
      <c r="W1" s="223" t="s">
        <v>649</v>
      </c>
      <c r="X1" s="55"/>
    </row>
    <row r="2" spans="1:24" ht="14.25" customHeight="1" x14ac:dyDescent="0.55000000000000004">
      <c r="A2" s="269" t="str">
        <f>""&amp;Status!$A$2</f>
        <v/>
      </c>
      <c r="B2" s="231" t="s">
        <v>610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293"/>
      <c r="P2" s="293"/>
      <c r="Q2" s="293"/>
      <c r="U2" s="203"/>
      <c r="V2" s="202"/>
      <c r="W2" s="55"/>
      <c r="X2" s="202"/>
    </row>
    <row r="3" spans="1:24" ht="14.65" thickBot="1" x14ac:dyDescent="0.5">
      <c r="A3" s="228" t="s">
        <v>647</v>
      </c>
      <c r="B3" s="232" t="s">
        <v>646</v>
      </c>
      <c r="C3" s="290" t="str">
        <f>A4&amp;IF(A5&lt;&gt;""," "&amp;A5,IF(ISNUMBER(--A7)," "&amp;A7,""))&amp;" Calls"</f>
        <v>SPY Calls</v>
      </c>
      <c r="D3" s="291"/>
      <c r="E3" s="291"/>
      <c r="F3" s="291"/>
      <c r="G3" s="291"/>
      <c r="H3" s="291"/>
      <c r="I3" s="292"/>
      <c r="J3" s="198" t="s">
        <v>653</v>
      </c>
      <c r="K3" s="290" t="str">
        <f>A4&amp;IF(A5&lt;&gt;""," "&amp;A5,IF(ISNUMBER(--A7)," "&amp;A7,""))&amp;" Puts"</f>
        <v>SPY Puts</v>
      </c>
      <c r="L3" s="291"/>
      <c r="M3" s="291"/>
      <c r="N3" s="291"/>
      <c r="O3" s="291"/>
      <c r="P3" s="291"/>
      <c r="Q3" s="292"/>
      <c r="R3" s="202"/>
      <c r="S3" s="202"/>
      <c r="T3" s="202"/>
      <c r="U3" s="203"/>
      <c r="V3" s="202"/>
      <c r="W3" s="55"/>
      <c r="X3" s="202"/>
    </row>
    <row r="4" spans="1:24" ht="14.65" thickBot="1" x14ac:dyDescent="0.5">
      <c r="A4" s="229" t="s">
        <v>262</v>
      </c>
      <c r="B4" s="233" t="s">
        <v>645</v>
      </c>
      <c r="C4" s="237" t="s">
        <v>448</v>
      </c>
      <c r="D4" s="237" t="s">
        <v>449</v>
      </c>
      <c r="E4" s="235" t="str" cm="1">
        <f t="array" ref="E4:I4">{"Volume","BidSize","Bid","Ask","AskSize"}</f>
        <v>Volume</v>
      </c>
      <c r="F4" s="235" t="str">
        <v>BidSize</v>
      </c>
      <c r="G4" s="236" t="str">
        <v>Bid</v>
      </c>
      <c r="H4" s="236" t="str">
        <v>Ask</v>
      </c>
      <c r="I4" s="235" t="str">
        <v>AskSize</v>
      </c>
      <c r="J4" s="199" t="s">
        <v>450</v>
      </c>
      <c r="K4" s="235" t="str" cm="1">
        <f t="array" ref="K4:O4">{"BidSize","Bid","Ask","AskSize","Volume"}</f>
        <v>BidSize</v>
      </c>
      <c r="L4" s="236" t="str">
        <v>Bid</v>
      </c>
      <c r="M4" s="236" t="str">
        <v>Ask</v>
      </c>
      <c r="N4" s="235" t="str">
        <v>AskSize</v>
      </c>
      <c r="O4" s="235" t="str">
        <v>Volume</v>
      </c>
      <c r="P4" s="237" t="s">
        <v>449</v>
      </c>
      <c r="Q4" s="238" t="s">
        <v>448</v>
      </c>
      <c r="R4" s="202"/>
      <c r="S4" s="202"/>
      <c r="T4" s="202"/>
      <c r="U4" s="203"/>
      <c r="V4" s="202"/>
      <c r="W4" s="55"/>
      <c r="X4" s="202"/>
    </row>
    <row r="5" spans="1:24" x14ac:dyDescent="0.45">
      <c r="A5" s="230"/>
      <c r="B5" s="234" t="s">
        <v>644</v>
      </c>
      <c r="C5" s="204" t="s">
        <v>702</v>
      </c>
      <c r="D5" s="205" t="s">
        <v>703</v>
      </c>
      <c r="E5" s="202" t="s">
        <v>704</v>
      </c>
      <c r="F5" s="202"/>
      <c r="G5" s="206"/>
      <c r="H5" s="206"/>
      <c r="I5" s="202"/>
      <c r="J5" s="198" t="s">
        <v>654</v>
      </c>
      <c r="K5" s="202" t="s">
        <v>705</v>
      </c>
      <c r="L5" s="206"/>
      <c r="M5" s="206"/>
      <c r="N5" s="202"/>
      <c r="O5" s="202"/>
      <c r="P5" s="205" t="s">
        <v>706</v>
      </c>
      <c r="Q5" s="207" t="s">
        <v>707</v>
      </c>
      <c r="R5" s="202"/>
      <c r="S5" s="202"/>
      <c r="T5" s="202"/>
      <c r="U5" s="203"/>
      <c r="V5" s="202"/>
      <c r="W5" s="55"/>
      <c r="X5" s="202"/>
    </row>
    <row r="6" spans="1:24" ht="15.4" x14ac:dyDescent="0.55000000000000004">
      <c r="A6" s="225" t="s">
        <v>650</v>
      </c>
      <c r="B6" s="208"/>
      <c r="C6" s="209"/>
      <c r="D6" s="210"/>
      <c r="E6" s="211"/>
      <c r="F6" s="211"/>
      <c r="G6" s="212"/>
      <c r="H6" s="212"/>
      <c r="I6" s="211"/>
      <c r="J6" s="200"/>
      <c r="K6" s="211"/>
      <c r="L6" s="212"/>
      <c r="M6" s="212"/>
      <c r="N6" s="211"/>
      <c r="O6" s="211"/>
      <c r="P6" s="210"/>
      <c r="Q6" s="213"/>
      <c r="R6" s="202"/>
      <c r="S6" s="202"/>
      <c r="T6" s="202"/>
      <c r="U6" s="203"/>
      <c r="V6" s="202"/>
      <c r="W6" s="202"/>
      <c r="X6" s="202"/>
    </row>
    <row r="7" spans="1:24" x14ac:dyDescent="0.45">
      <c r="A7" s="226" t="s">
        <v>651</v>
      </c>
      <c r="B7" s="208"/>
      <c r="C7" s="204"/>
      <c r="D7" s="205"/>
      <c r="E7" s="202"/>
      <c r="F7" s="202"/>
      <c r="G7" s="206"/>
      <c r="H7" s="206"/>
      <c r="I7" s="202"/>
      <c r="J7" s="198"/>
      <c r="K7" s="202"/>
      <c r="L7" s="206"/>
      <c r="M7" s="206"/>
      <c r="N7" s="202"/>
      <c r="O7" s="202"/>
      <c r="P7" s="205"/>
      <c r="Q7" s="207"/>
      <c r="R7" s="202"/>
      <c r="S7" s="202"/>
      <c r="T7" s="202"/>
      <c r="U7" s="203"/>
      <c r="V7" s="202"/>
      <c r="W7" s="202"/>
      <c r="X7" s="202"/>
    </row>
    <row r="8" spans="1:24" x14ac:dyDescent="0.45">
      <c r="A8" s="226"/>
      <c r="B8" s="208"/>
      <c r="C8" s="209"/>
      <c r="D8" s="210"/>
      <c r="E8" s="211"/>
      <c r="F8" s="211"/>
      <c r="G8" s="212"/>
      <c r="H8" s="212"/>
      <c r="I8" s="211"/>
      <c r="J8" s="200"/>
      <c r="K8" s="211"/>
      <c r="L8" s="212"/>
      <c r="M8" s="212"/>
      <c r="N8" s="211"/>
      <c r="O8" s="211"/>
      <c r="P8" s="210"/>
      <c r="Q8" s="213"/>
      <c r="R8" s="202"/>
      <c r="S8" s="202"/>
      <c r="T8" s="202"/>
      <c r="U8" s="203"/>
      <c r="V8" s="202"/>
      <c r="W8" s="202"/>
      <c r="X8" s="202"/>
    </row>
    <row r="9" spans="1:24" x14ac:dyDescent="0.45">
      <c r="A9" s="226"/>
      <c r="B9" s="208"/>
      <c r="C9" s="204"/>
      <c r="D9" s="205"/>
      <c r="E9" s="202"/>
      <c r="F9" s="202"/>
      <c r="G9" s="206"/>
      <c r="H9" s="206"/>
      <c r="I9" s="202"/>
      <c r="J9" s="198"/>
      <c r="K9" s="202"/>
      <c r="L9" s="206"/>
      <c r="M9" s="206"/>
      <c r="N9" s="202"/>
      <c r="O9" s="202"/>
      <c r="P9" s="205"/>
      <c r="Q9" s="207"/>
      <c r="R9" s="202"/>
      <c r="S9" s="202"/>
      <c r="T9" s="202"/>
      <c r="U9" s="203"/>
      <c r="V9" s="202"/>
      <c r="W9" s="202"/>
      <c r="X9" s="202"/>
    </row>
    <row r="10" spans="1:24" x14ac:dyDescent="0.45">
      <c r="A10" s="226"/>
      <c r="B10" s="202"/>
      <c r="C10" s="209"/>
      <c r="D10" s="210"/>
      <c r="E10" s="211"/>
      <c r="F10" s="211"/>
      <c r="G10" s="212"/>
      <c r="H10" s="212"/>
      <c r="I10" s="211"/>
      <c r="J10" s="200"/>
      <c r="K10" s="211"/>
      <c r="L10" s="212"/>
      <c r="M10" s="212"/>
      <c r="N10" s="211"/>
      <c r="O10" s="211"/>
      <c r="P10" s="210"/>
      <c r="Q10" s="213"/>
      <c r="R10" s="202"/>
      <c r="S10" s="202"/>
      <c r="T10" s="202"/>
      <c r="U10" s="203"/>
      <c r="V10" s="202"/>
      <c r="W10" s="202"/>
      <c r="X10" s="202"/>
    </row>
    <row r="11" spans="1:24" x14ac:dyDescent="0.45">
      <c r="A11" s="226"/>
      <c r="C11" s="204"/>
      <c r="D11" s="205"/>
      <c r="E11" s="202"/>
      <c r="F11" s="202"/>
      <c r="G11" s="206"/>
      <c r="H11" s="206"/>
      <c r="I11" s="202"/>
      <c r="J11" s="198"/>
      <c r="K11" s="202"/>
      <c r="L11" s="206"/>
      <c r="M11" s="206"/>
      <c r="N11" s="202"/>
      <c r="O11" s="202"/>
      <c r="P11" s="205"/>
      <c r="Q11" s="207"/>
      <c r="R11" s="202"/>
      <c r="S11" s="202"/>
      <c r="T11" s="202"/>
      <c r="U11" s="203"/>
      <c r="V11" s="202"/>
      <c r="W11" s="202"/>
      <c r="X11" s="202"/>
    </row>
    <row r="12" spans="1:24" x14ac:dyDescent="0.45">
      <c r="A12" s="226"/>
      <c r="B12" s="214"/>
      <c r="C12" s="209"/>
      <c r="D12" s="210"/>
      <c r="E12" s="211"/>
      <c r="F12" s="211"/>
      <c r="G12" s="212"/>
      <c r="H12" s="212"/>
      <c r="I12" s="211"/>
      <c r="J12" s="200"/>
      <c r="K12" s="211"/>
      <c r="L12" s="212"/>
      <c r="M12" s="212"/>
      <c r="N12" s="211"/>
      <c r="O12" s="211"/>
      <c r="P12" s="210"/>
      <c r="Q12" s="213"/>
      <c r="R12" s="202"/>
      <c r="S12" s="202"/>
      <c r="T12" s="202"/>
      <c r="U12" s="203"/>
      <c r="V12" s="202"/>
      <c r="W12" s="202"/>
      <c r="X12" s="202"/>
    </row>
    <row r="13" spans="1:24" x14ac:dyDescent="0.45">
      <c r="A13" s="226"/>
      <c r="B13" s="214"/>
      <c r="C13" s="204"/>
      <c r="D13" s="205"/>
      <c r="E13" s="202"/>
      <c r="F13" s="202"/>
      <c r="G13" s="206"/>
      <c r="H13" s="206"/>
      <c r="I13" s="202"/>
      <c r="J13" s="198"/>
      <c r="K13" s="202"/>
      <c r="L13" s="206"/>
      <c r="M13" s="206"/>
      <c r="N13" s="202"/>
      <c r="O13" s="202"/>
      <c r="P13" s="205"/>
      <c r="Q13" s="207"/>
      <c r="R13" s="202"/>
      <c r="S13" s="202"/>
      <c r="T13" s="202"/>
      <c r="U13" s="203"/>
      <c r="V13" s="202"/>
      <c r="W13" s="202"/>
      <c r="X13" s="202"/>
    </row>
    <row r="14" spans="1:24" x14ac:dyDescent="0.45">
      <c r="A14" s="226"/>
      <c r="B14" s="202"/>
      <c r="C14" s="209"/>
      <c r="D14" s="210"/>
      <c r="E14" s="211"/>
      <c r="F14" s="211"/>
      <c r="G14" s="212"/>
      <c r="H14" s="212"/>
      <c r="I14" s="211"/>
      <c r="J14" s="200"/>
      <c r="K14" s="211"/>
      <c r="L14" s="212"/>
      <c r="M14" s="212"/>
      <c r="N14" s="211"/>
      <c r="O14" s="211"/>
      <c r="P14" s="210"/>
      <c r="Q14" s="213"/>
      <c r="R14" s="202"/>
      <c r="S14" s="202"/>
      <c r="T14" s="202"/>
      <c r="U14" s="203"/>
      <c r="V14" s="202"/>
      <c r="W14" s="202"/>
      <c r="X14" s="202"/>
    </row>
    <row r="15" spans="1:24" x14ac:dyDescent="0.45">
      <c r="A15" s="226"/>
      <c r="C15" s="204"/>
      <c r="D15" s="205"/>
      <c r="E15" s="202"/>
      <c r="F15" s="202"/>
      <c r="G15" s="206"/>
      <c r="H15" s="206"/>
      <c r="I15" s="202"/>
      <c r="J15" s="198"/>
      <c r="K15" s="202"/>
      <c r="L15" s="206"/>
      <c r="M15" s="206"/>
      <c r="N15" s="202"/>
      <c r="O15" s="202"/>
      <c r="P15" s="205"/>
      <c r="Q15" s="207"/>
      <c r="R15" s="202"/>
      <c r="S15" s="202"/>
      <c r="T15" s="202"/>
      <c r="U15" s="203"/>
      <c r="V15" s="202"/>
      <c r="W15" s="202"/>
      <c r="X15" s="202"/>
    </row>
    <row r="16" spans="1:24" x14ac:dyDescent="0.45">
      <c r="A16" s="226"/>
      <c r="C16" s="209"/>
      <c r="D16" s="210"/>
      <c r="E16" s="211"/>
      <c r="F16" s="211"/>
      <c r="G16" s="212"/>
      <c r="H16" s="212"/>
      <c r="I16" s="211"/>
      <c r="J16" s="200"/>
      <c r="K16" s="211"/>
      <c r="L16" s="212"/>
      <c r="M16" s="212"/>
      <c r="N16" s="211"/>
      <c r="O16" s="211"/>
      <c r="P16" s="210"/>
      <c r="Q16" s="213"/>
      <c r="R16" s="202"/>
      <c r="S16" s="202"/>
      <c r="T16" s="202"/>
      <c r="U16" s="203"/>
      <c r="V16" s="202"/>
      <c r="W16" s="202"/>
      <c r="X16" s="202"/>
    </row>
    <row r="17" spans="1:24" x14ac:dyDescent="0.45">
      <c r="A17" s="226"/>
      <c r="C17" s="204"/>
      <c r="D17" s="205"/>
      <c r="E17" s="202"/>
      <c r="F17" s="202"/>
      <c r="G17" s="206"/>
      <c r="H17" s="206"/>
      <c r="I17" s="202"/>
      <c r="J17" s="198"/>
      <c r="K17" s="202"/>
      <c r="L17" s="206"/>
      <c r="M17" s="206"/>
      <c r="N17" s="202"/>
      <c r="O17" s="202"/>
      <c r="P17" s="205"/>
      <c r="Q17" s="207"/>
      <c r="R17" s="202"/>
      <c r="S17" s="202"/>
      <c r="T17" s="202"/>
      <c r="U17" s="203"/>
      <c r="V17" s="202"/>
      <c r="W17" s="202"/>
      <c r="X17" s="202"/>
    </row>
    <row r="18" spans="1:24" x14ac:dyDescent="0.45">
      <c r="A18" s="226"/>
      <c r="C18" s="209"/>
      <c r="D18" s="210"/>
      <c r="E18" s="211"/>
      <c r="F18" s="211"/>
      <c r="G18" s="212"/>
      <c r="H18" s="212"/>
      <c r="I18" s="211"/>
      <c r="J18" s="200"/>
      <c r="K18" s="211"/>
      <c r="L18" s="212"/>
      <c r="M18" s="212"/>
      <c r="N18" s="211"/>
      <c r="O18" s="211"/>
      <c r="P18" s="210"/>
      <c r="Q18" s="213"/>
      <c r="R18" s="202"/>
      <c r="S18" s="202"/>
      <c r="T18" s="202"/>
      <c r="U18" s="203"/>
      <c r="V18" s="202"/>
      <c r="W18" s="202"/>
      <c r="X18" s="202"/>
    </row>
    <row r="19" spans="1:24" x14ac:dyDescent="0.45">
      <c r="A19" s="226"/>
      <c r="C19" s="204"/>
      <c r="D19" s="205"/>
      <c r="E19" s="202"/>
      <c r="F19" s="202"/>
      <c r="G19" s="206"/>
      <c r="H19" s="206"/>
      <c r="I19" s="202"/>
      <c r="J19" s="198"/>
      <c r="K19" s="202"/>
      <c r="L19" s="206"/>
      <c r="M19" s="206"/>
      <c r="N19" s="202"/>
      <c r="O19" s="202"/>
      <c r="P19" s="205"/>
      <c r="Q19" s="207"/>
      <c r="R19" s="202"/>
      <c r="S19" s="202"/>
      <c r="T19" s="202"/>
      <c r="U19" s="203"/>
      <c r="V19" s="202"/>
      <c r="W19" s="202"/>
      <c r="X19" s="202"/>
    </row>
    <row r="20" spans="1:24" x14ac:dyDescent="0.45">
      <c r="A20" s="226"/>
      <c r="C20" s="209"/>
      <c r="D20" s="210"/>
      <c r="E20" s="211"/>
      <c r="F20" s="211"/>
      <c r="G20" s="212"/>
      <c r="H20" s="212"/>
      <c r="I20" s="211"/>
      <c r="J20" s="200"/>
      <c r="K20" s="211"/>
      <c r="L20" s="212"/>
      <c r="M20" s="212"/>
      <c r="N20" s="211"/>
      <c r="O20" s="211"/>
      <c r="P20" s="210"/>
      <c r="Q20" s="213"/>
      <c r="R20" s="202"/>
      <c r="S20" s="202"/>
      <c r="T20" s="202"/>
      <c r="U20" s="203"/>
      <c r="V20" s="202"/>
      <c r="W20" s="202"/>
      <c r="X20" s="202"/>
    </row>
    <row r="21" spans="1:24" x14ac:dyDescent="0.45">
      <c r="A21" s="226"/>
      <c r="C21" s="204"/>
      <c r="D21" s="205"/>
      <c r="E21" s="202"/>
      <c r="F21" s="202"/>
      <c r="G21" s="206"/>
      <c r="H21" s="206"/>
      <c r="I21" s="202"/>
      <c r="J21" s="198"/>
      <c r="K21" s="202"/>
      <c r="L21" s="206"/>
      <c r="M21" s="206"/>
      <c r="N21" s="202"/>
      <c r="O21" s="202"/>
      <c r="P21" s="205"/>
      <c r="Q21" s="207"/>
      <c r="R21" s="202"/>
      <c r="S21" s="202"/>
      <c r="T21" s="202"/>
      <c r="U21" s="203"/>
      <c r="V21" s="202"/>
      <c r="W21" s="202"/>
      <c r="X21" s="202"/>
    </row>
    <row r="22" spans="1:24" x14ac:dyDescent="0.45">
      <c r="A22" s="226"/>
      <c r="C22" s="209"/>
      <c r="D22" s="210"/>
      <c r="E22" s="211"/>
      <c r="F22" s="211"/>
      <c r="G22" s="212"/>
      <c r="H22" s="212"/>
      <c r="I22" s="211"/>
      <c r="J22" s="200"/>
      <c r="K22" s="211"/>
      <c r="L22" s="212"/>
      <c r="M22" s="212"/>
      <c r="N22" s="211"/>
      <c r="O22" s="211"/>
      <c r="P22" s="210"/>
      <c r="Q22" s="213"/>
      <c r="R22" s="202"/>
      <c r="S22" s="202"/>
      <c r="T22" s="202"/>
      <c r="U22" s="203"/>
      <c r="V22" s="202"/>
      <c r="W22" s="202"/>
      <c r="X22" s="202"/>
    </row>
    <row r="23" spans="1:24" x14ac:dyDescent="0.45">
      <c r="A23" s="226"/>
      <c r="C23" s="204"/>
      <c r="D23" s="205"/>
      <c r="E23" s="202"/>
      <c r="F23" s="202"/>
      <c r="G23" s="206"/>
      <c r="H23" s="206"/>
      <c r="I23" s="202"/>
      <c r="J23" s="198"/>
      <c r="K23" s="202"/>
      <c r="L23" s="206"/>
      <c r="M23" s="206"/>
      <c r="N23" s="202"/>
      <c r="O23" s="202"/>
      <c r="P23" s="205"/>
      <c r="Q23" s="207"/>
      <c r="R23" s="202"/>
      <c r="S23" s="202"/>
      <c r="T23" s="202"/>
      <c r="U23" s="203"/>
      <c r="V23" s="202"/>
      <c r="W23" s="202"/>
      <c r="X23" s="202"/>
    </row>
    <row r="24" spans="1:24" x14ac:dyDescent="0.45">
      <c r="A24" s="226"/>
      <c r="C24" s="209"/>
      <c r="D24" s="210"/>
      <c r="E24" s="211"/>
      <c r="F24" s="211"/>
      <c r="G24" s="212"/>
      <c r="H24" s="212"/>
      <c r="I24" s="211"/>
      <c r="J24" s="200"/>
      <c r="K24" s="211"/>
      <c r="L24" s="212"/>
      <c r="M24" s="212"/>
      <c r="N24" s="211"/>
      <c r="O24" s="211"/>
      <c r="P24" s="210"/>
      <c r="Q24" s="213"/>
      <c r="R24" s="202"/>
      <c r="S24" s="202"/>
      <c r="T24" s="202"/>
      <c r="U24" s="203"/>
      <c r="V24" s="202"/>
      <c r="W24" s="202"/>
      <c r="X24" s="202"/>
    </row>
    <row r="25" spans="1:24" x14ac:dyDescent="0.45">
      <c r="A25" s="226"/>
      <c r="C25" s="204"/>
      <c r="D25" s="205"/>
      <c r="E25" s="202"/>
      <c r="F25" s="202"/>
      <c r="G25" s="206"/>
      <c r="H25" s="206"/>
      <c r="I25" s="202"/>
      <c r="J25" s="198"/>
      <c r="K25" s="202"/>
      <c r="L25" s="206"/>
      <c r="M25" s="206"/>
      <c r="N25" s="202"/>
      <c r="O25" s="202"/>
      <c r="P25" s="205"/>
      <c r="Q25" s="207"/>
      <c r="R25" s="202"/>
      <c r="S25" s="202"/>
      <c r="T25" s="202"/>
      <c r="U25" s="203"/>
      <c r="V25" s="202"/>
      <c r="W25" s="202"/>
      <c r="X25" s="202"/>
    </row>
    <row r="26" spans="1:24" x14ac:dyDescent="0.45">
      <c r="A26" s="226"/>
      <c r="C26" s="209"/>
      <c r="D26" s="210"/>
      <c r="E26" s="211"/>
      <c r="F26" s="211"/>
      <c r="G26" s="212"/>
      <c r="H26" s="212"/>
      <c r="I26" s="211"/>
      <c r="J26" s="200"/>
      <c r="K26" s="211"/>
      <c r="L26" s="212"/>
      <c r="M26" s="212"/>
      <c r="N26" s="211"/>
      <c r="O26" s="211"/>
      <c r="P26" s="210"/>
      <c r="Q26" s="213"/>
      <c r="R26" s="202"/>
      <c r="S26" s="202"/>
      <c r="T26" s="202"/>
      <c r="U26" s="203"/>
      <c r="V26" s="202"/>
      <c r="W26" s="202"/>
      <c r="X26" s="202"/>
    </row>
    <row r="27" spans="1:24" x14ac:dyDescent="0.45">
      <c r="A27" s="226"/>
      <c r="C27" s="204"/>
      <c r="D27" s="205"/>
      <c r="E27" s="202"/>
      <c r="F27" s="202"/>
      <c r="G27" s="206"/>
      <c r="H27" s="206"/>
      <c r="I27" s="202"/>
      <c r="J27" s="198"/>
      <c r="K27" s="202"/>
      <c r="L27" s="206"/>
      <c r="M27" s="206"/>
      <c r="N27" s="202"/>
      <c r="O27" s="202"/>
      <c r="P27" s="205"/>
      <c r="Q27" s="207"/>
      <c r="R27" s="202"/>
      <c r="S27" s="202"/>
      <c r="T27" s="202"/>
      <c r="U27" s="203"/>
      <c r="V27" s="202"/>
      <c r="W27" s="202"/>
      <c r="X27" s="202"/>
    </row>
    <row r="28" spans="1:24" x14ac:dyDescent="0.45">
      <c r="A28" s="226"/>
      <c r="C28" s="209"/>
      <c r="D28" s="210"/>
      <c r="E28" s="211"/>
      <c r="F28" s="211"/>
      <c r="G28" s="212"/>
      <c r="H28" s="212"/>
      <c r="I28" s="211"/>
      <c r="J28" s="200"/>
      <c r="K28" s="211"/>
      <c r="L28" s="212"/>
      <c r="M28" s="212"/>
      <c r="N28" s="211"/>
      <c r="O28" s="211"/>
      <c r="P28" s="210"/>
      <c r="Q28" s="213"/>
      <c r="R28" s="202"/>
      <c r="S28" s="202"/>
      <c r="T28" s="202"/>
      <c r="U28" s="203"/>
      <c r="V28" s="202"/>
      <c r="W28" s="202"/>
      <c r="X28" s="202"/>
    </row>
    <row r="29" spans="1:24" x14ac:dyDescent="0.45">
      <c r="A29" s="226"/>
      <c r="C29" s="204"/>
      <c r="D29" s="205"/>
      <c r="E29" s="202"/>
      <c r="F29" s="202"/>
      <c r="G29" s="206"/>
      <c r="H29" s="206"/>
      <c r="I29" s="202"/>
      <c r="J29" s="198"/>
      <c r="K29" s="202"/>
      <c r="L29" s="206"/>
      <c r="M29" s="206"/>
      <c r="N29" s="202"/>
      <c r="O29" s="202"/>
      <c r="P29" s="205"/>
      <c r="Q29" s="207"/>
      <c r="R29" s="202"/>
      <c r="S29" s="202"/>
      <c r="T29" s="202"/>
      <c r="U29" s="203"/>
      <c r="V29" s="202"/>
      <c r="W29" s="202"/>
      <c r="X29" s="202"/>
    </row>
    <row r="30" spans="1:24" x14ac:dyDescent="0.45">
      <c r="A30" s="226"/>
      <c r="C30" s="209"/>
      <c r="D30" s="210"/>
      <c r="E30" s="211"/>
      <c r="F30" s="211"/>
      <c r="G30" s="212"/>
      <c r="H30" s="212"/>
      <c r="I30" s="211"/>
      <c r="J30" s="200"/>
      <c r="K30" s="211"/>
      <c r="L30" s="212"/>
      <c r="M30" s="212"/>
      <c r="N30" s="211"/>
      <c r="O30" s="211"/>
      <c r="P30" s="210"/>
      <c r="Q30" s="213"/>
      <c r="R30" s="202"/>
      <c r="S30" s="202"/>
      <c r="T30" s="202"/>
      <c r="U30" s="203"/>
      <c r="V30" s="202"/>
      <c r="W30" s="202"/>
      <c r="X30" s="202"/>
    </row>
    <row r="31" spans="1:24" x14ac:dyDescent="0.45">
      <c r="A31" s="226"/>
      <c r="C31" s="204"/>
      <c r="D31" s="205"/>
      <c r="E31" s="202"/>
      <c r="F31" s="202"/>
      <c r="G31" s="206"/>
      <c r="H31" s="206"/>
      <c r="I31" s="202"/>
      <c r="J31" s="198"/>
      <c r="K31" s="202"/>
      <c r="L31" s="206"/>
      <c r="M31" s="206"/>
      <c r="N31" s="202"/>
      <c r="O31" s="202"/>
      <c r="P31" s="205"/>
      <c r="Q31" s="207"/>
      <c r="R31" s="202"/>
      <c r="S31" s="202"/>
      <c r="T31" s="202"/>
      <c r="U31" s="203"/>
      <c r="V31" s="202"/>
      <c r="W31" s="202"/>
      <c r="X31" s="202"/>
    </row>
    <row r="32" spans="1:24" x14ac:dyDescent="0.45">
      <c r="A32" s="226"/>
      <c r="C32" s="209"/>
      <c r="D32" s="210"/>
      <c r="E32" s="211"/>
      <c r="F32" s="211"/>
      <c r="G32" s="212"/>
      <c r="H32" s="212"/>
      <c r="I32" s="211"/>
      <c r="J32" s="200"/>
      <c r="K32" s="211"/>
      <c r="L32" s="212"/>
      <c r="M32" s="212"/>
      <c r="N32" s="211"/>
      <c r="O32" s="211"/>
      <c r="P32" s="210"/>
      <c r="Q32" s="213"/>
      <c r="R32" s="202"/>
      <c r="S32" s="202"/>
      <c r="T32" s="202"/>
      <c r="U32" s="203"/>
      <c r="V32" s="202"/>
      <c r="W32" s="202"/>
      <c r="X32" s="202"/>
    </row>
    <row r="33" spans="1:24" x14ac:dyDescent="0.45">
      <c r="A33" s="226"/>
      <c r="C33" s="204"/>
      <c r="D33" s="205"/>
      <c r="E33" s="202"/>
      <c r="F33" s="202"/>
      <c r="G33" s="206"/>
      <c r="H33" s="206"/>
      <c r="I33" s="202"/>
      <c r="J33" s="198"/>
      <c r="K33" s="202"/>
      <c r="L33" s="206"/>
      <c r="M33" s="206"/>
      <c r="N33" s="202"/>
      <c r="O33" s="202"/>
      <c r="P33" s="205"/>
      <c r="Q33" s="207"/>
      <c r="R33" s="202"/>
      <c r="S33" s="202"/>
      <c r="T33" s="202"/>
      <c r="U33" s="203"/>
      <c r="V33" s="202"/>
      <c r="W33" s="202"/>
      <c r="X33" s="202"/>
    </row>
    <row r="34" spans="1:24" x14ac:dyDescent="0.45">
      <c r="A34" s="226"/>
      <c r="C34" s="209"/>
      <c r="D34" s="210"/>
      <c r="E34" s="211"/>
      <c r="F34" s="211"/>
      <c r="G34" s="212"/>
      <c r="H34" s="212"/>
      <c r="I34" s="211"/>
      <c r="J34" s="200"/>
      <c r="K34" s="211"/>
      <c r="L34" s="212"/>
      <c r="M34" s="212"/>
      <c r="N34" s="211"/>
      <c r="O34" s="211"/>
      <c r="P34" s="210"/>
      <c r="Q34" s="213"/>
      <c r="R34" s="202"/>
      <c r="S34" s="202"/>
      <c r="T34" s="202"/>
      <c r="U34" s="203"/>
      <c r="V34" s="202"/>
      <c r="W34" s="202"/>
      <c r="X34" s="202"/>
    </row>
    <row r="35" spans="1:24" x14ac:dyDescent="0.45">
      <c r="A35" s="226"/>
      <c r="C35" s="204"/>
      <c r="D35" s="205"/>
      <c r="E35" s="202"/>
      <c r="F35" s="202"/>
      <c r="G35" s="206"/>
      <c r="H35" s="206"/>
      <c r="I35" s="202"/>
      <c r="J35" s="198"/>
      <c r="K35" s="202"/>
      <c r="L35" s="206"/>
      <c r="M35" s="206"/>
      <c r="N35" s="202"/>
      <c r="O35" s="202"/>
      <c r="P35" s="205"/>
      <c r="Q35" s="207"/>
      <c r="R35" s="202"/>
      <c r="S35" s="202"/>
      <c r="T35" s="202"/>
      <c r="U35" s="203"/>
      <c r="V35" s="202"/>
      <c r="W35" s="202"/>
      <c r="X35" s="202"/>
    </row>
    <row r="36" spans="1:24" x14ac:dyDescent="0.45">
      <c r="A36" s="226"/>
      <c r="C36" s="209"/>
      <c r="D36" s="210"/>
      <c r="E36" s="211"/>
      <c r="F36" s="211"/>
      <c r="G36" s="212"/>
      <c r="H36" s="212"/>
      <c r="I36" s="211"/>
      <c r="J36" s="200"/>
      <c r="K36" s="211"/>
      <c r="L36" s="212"/>
      <c r="M36" s="212"/>
      <c r="N36" s="211"/>
      <c r="O36" s="211"/>
      <c r="P36" s="210"/>
      <c r="Q36" s="213"/>
      <c r="R36" s="202"/>
      <c r="S36" s="202"/>
      <c r="T36" s="202"/>
      <c r="U36" s="203"/>
      <c r="V36" s="202"/>
      <c r="W36" s="202"/>
      <c r="X36" s="202"/>
    </row>
    <row r="37" spans="1:24" x14ac:dyDescent="0.45">
      <c r="A37" s="226"/>
      <c r="C37" s="204"/>
      <c r="D37" s="205"/>
      <c r="E37" s="202"/>
      <c r="F37" s="202"/>
      <c r="G37" s="206"/>
      <c r="H37" s="206"/>
      <c r="I37" s="202"/>
      <c r="J37" s="198"/>
      <c r="K37" s="202"/>
      <c r="L37" s="206"/>
      <c r="M37" s="206"/>
      <c r="N37" s="202"/>
      <c r="O37" s="202"/>
      <c r="P37" s="205"/>
      <c r="Q37" s="207"/>
      <c r="R37" s="202"/>
      <c r="S37" s="202"/>
      <c r="T37" s="202"/>
      <c r="U37" s="203"/>
      <c r="V37" s="202"/>
      <c r="W37" s="202"/>
      <c r="X37" s="202"/>
    </row>
    <row r="38" spans="1:24" x14ac:dyDescent="0.45">
      <c r="A38" s="226"/>
      <c r="C38" s="209"/>
      <c r="D38" s="210"/>
      <c r="E38" s="211"/>
      <c r="F38" s="211"/>
      <c r="G38" s="212"/>
      <c r="H38" s="212"/>
      <c r="I38" s="211"/>
      <c r="J38" s="200"/>
      <c r="K38" s="211"/>
      <c r="L38" s="212"/>
      <c r="M38" s="212"/>
      <c r="N38" s="211"/>
      <c r="O38" s="211"/>
      <c r="P38" s="210"/>
      <c r="Q38" s="213"/>
      <c r="R38" s="202"/>
      <c r="S38" s="202"/>
      <c r="T38" s="202"/>
      <c r="U38" s="203"/>
      <c r="V38" s="202"/>
      <c r="W38" s="202"/>
      <c r="X38" s="202"/>
    </row>
    <row r="39" spans="1:24" x14ac:dyDescent="0.45">
      <c r="A39" s="226"/>
      <c r="C39" s="204"/>
      <c r="D39" s="205"/>
      <c r="E39" s="202"/>
      <c r="F39" s="202"/>
      <c r="G39" s="206"/>
      <c r="H39" s="206"/>
      <c r="I39" s="202"/>
      <c r="J39" s="198"/>
      <c r="K39" s="202"/>
      <c r="L39" s="206"/>
      <c r="M39" s="206"/>
      <c r="N39" s="202"/>
      <c r="O39" s="202"/>
      <c r="P39" s="205"/>
      <c r="Q39" s="207"/>
      <c r="R39" s="202"/>
      <c r="S39" s="202"/>
      <c r="T39" s="202"/>
      <c r="U39" s="203"/>
      <c r="V39" s="202"/>
      <c r="W39" s="202"/>
      <c r="X39" s="202"/>
    </row>
    <row r="40" spans="1:24" x14ac:dyDescent="0.45">
      <c r="A40" s="226"/>
      <c r="C40" s="209"/>
      <c r="D40" s="210"/>
      <c r="E40" s="211"/>
      <c r="F40" s="211"/>
      <c r="G40" s="212"/>
      <c r="H40" s="212"/>
      <c r="I40" s="211"/>
      <c r="J40" s="200"/>
      <c r="K40" s="211"/>
      <c r="L40" s="212"/>
      <c r="M40" s="212"/>
      <c r="N40" s="211"/>
      <c r="O40" s="211"/>
      <c r="P40" s="210"/>
      <c r="Q40" s="213"/>
      <c r="R40" s="202"/>
      <c r="S40" s="202"/>
      <c r="T40" s="202"/>
      <c r="U40" s="203"/>
      <c r="V40" s="202"/>
      <c r="W40" s="202"/>
      <c r="X40" s="202"/>
    </row>
    <row r="41" spans="1:24" x14ac:dyDescent="0.45">
      <c r="A41" s="226"/>
      <c r="C41" s="204"/>
      <c r="D41" s="205"/>
      <c r="E41" s="202"/>
      <c r="F41" s="202"/>
      <c r="G41" s="206"/>
      <c r="H41" s="206"/>
      <c r="I41" s="202"/>
      <c r="J41" s="198"/>
      <c r="K41" s="202"/>
      <c r="L41" s="206"/>
      <c r="M41" s="206"/>
      <c r="N41" s="202"/>
      <c r="O41" s="202"/>
      <c r="P41" s="205"/>
      <c r="Q41" s="207"/>
      <c r="R41" s="202"/>
      <c r="S41" s="202"/>
      <c r="T41" s="202"/>
      <c r="U41" s="203"/>
      <c r="V41" s="202"/>
      <c r="W41" s="202"/>
      <c r="X41" s="202"/>
    </row>
    <row r="42" spans="1:24" x14ac:dyDescent="0.45">
      <c r="A42" s="226"/>
      <c r="C42" s="209"/>
      <c r="D42" s="210"/>
      <c r="E42" s="211"/>
      <c r="F42" s="211"/>
      <c r="G42" s="212"/>
      <c r="H42" s="212"/>
      <c r="I42" s="211"/>
      <c r="J42" s="200"/>
      <c r="K42" s="211"/>
      <c r="L42" s="212"/>
      <c r="M42" s="212"/>
      <c r="N42" s="211"/>
      <c r="O42" s="211"/>
      <c r="P42" s="210"/>
      <c r="Q42" s="213"/>
      <c r="R42" s="202"/>
      <c r="S42" s="202"/>
      <c r="T42" s="202"/>
      <c r="U42" s="203"/>
      <c r="V42" s="202"/>
      <c r="W42" s="202"/>
      <c r="X42" s="202"/>
    </row>
    <row r="43" spans="1:24" x14ac:dyDescent="0.45">
      <c r="A43" s="226"/>
      <c r="C43" s="204"/>
      <c r="D43" s="205"/>
      <c r="E43" s="202"/>
      <c r="F43" s="202"/>
      <c r="G43" s="206"/>
      <c r="H43" s="206"/>
      <c r="I43" s="202"/>
      <c r="J43" s="198"/>
      <c r="K43" s="202"/>
      <c r="L43" s="206"/>
      <c r="M43" s="206"/>
      <c r="N43" s="202"/>
      <c r="O43" s="202"/>
      <c r="P43" s="205"/>
      <c r="Q43" s="207"/>
      <c r="R43" s="202"/>
      <c r="S43" s="202"/>
      <c r="T43" s="202"/>
      <c r="U43" s="203"/>
      <c r="V43" s="202"/>
      <c r="W43" s="202"/>
      <c r="X43" s="202"/>
    </row>
    <row r="44" spans="1:24" x14ac:dyDescent="0.45">
      <c r="A44" s="226"/>
      <c r="C44" s="209"/>
      <c r="D44" s="210"/>
      <c r="E44" s="211"/>
      <c r="F44" s="211"/>
      <c r="G44" s="212"/>
      <c r="H44" s="212"/>
      <c r="I44" s="211"/>
      <c r="J44" s="200"/>
      <c r="K44" s="211"/>
      <c r="L44" s="212"/>
      <c r="M44" s="212"/>
      <c r="N44" s="211"/>
      <c r="O44" s="211"/>
      <c r="P44" s="210"/>
      <c r="Q44" s="213"/>
      <c r="R44" s="202"/>
      <c r="S44" s="202"/>
      <c r="T44" s="202"/>
      <c r="U44" s="203"/>
      <c r="V44" s="202"/>
      <c r="W44" s="202"/>
      <c r="X44" s="202"/>
    </row>
    <row r="45" spans="1:24" x14ac:dyDescent="0.45">
      <c r="C45" s="204"/>
      <c r="D45" s="205"/>
      <c r="E45" s="202"/>
      <c r="F45" s="202"/>
      <c r="G45" s="206"/>
      <c r="H45" s="206"/>
      <c r="I45" s="202"/>
      <c r="J45" s="219"/>
      <c r="K45" s="202"/>
      <c r="L45" s="206"/>
      <c r="M45" s="206"/>
      <c r="N45" s="202"/>
      <c r="O45" s="202"/>
      <c r="P45" s="205"/>
      <c r="Q45" s="207"/>
      <c r="R45" s="202"/>
      <c r="S45" s="202"/>
      <c r="T45" s="202"/>
      <c r="U45" s="203"/>
      <c r="V45" s="202"/>
      <c r="W45" s="202"/>
      <c r="X45" s="202"/>
    </row>
    <row r="46" spans="1:24" x14ac:dyDescent="0.45">
      <c r="C46" s="204"/>
      <c r="D46" s="205"/>
      <c r="E46" s="202"/>
      <c r="F46" s="202"/>
      <c r="G46" s="206"/>
      <c r="H46" s="206"/>
      <c r="I46" s="202"/>
      <c r="J46" s="219"/>
      <c r="K46" s="202"/>
      <c r="L46" s="206"/>
      <c r="M46" s="206"/>
      <c r="N46" s="202"/>
      <c r="O46" s="202"/>
      <c r="P46" s="205"/>
      <c r="Q46" s="207"/>
      <c r="R46" s="202"/>
      <c r="S46" s="202"/>
      <c r="T46" s="202"/>
      <c r="U46" s="203"/>
      <c r="V46" s="202"/>
      <c r="W46" s="202"/>
      <c r="X46" s="202"/>
    </row>
    <row r="47" spans="1:24" x14ac:dyDescent="0.45">
      <c r="C47" s="204"/>
      <c r="D47" s="205"/>
      <c r="E47" s="202"/>
      <c r="F47" s="202"/>
      <c r="G47" s="206"/>
      <c r="H47" s="206"/>
      <c r="I47" s="202"/>
      <c r="J47" s="219"/>
      <c r="K47" s="202"/>
      <c r="L47" s="206"/>
      <c r="M47" s="206"/>
      <c r="N47" s="202"/>
      <c r="O47" s="202"/>
      <c r="P47" s="205"/>
      <c r="Q47" s="207"/>
      <c r="R47" s="202"/>
      <c r="S47" s="202"/>
      <c r="T47" s="202"/>
      <c r="U47" s="203"/>
      <c r="V47" s="202"/>
      <c r="W47" s="202"/>
      <c r="X47" s="202"/>
    </row>
    <row r="48" spans="1:24" x14ac:dyDescent="0.45">
      <c r="C48" s="204"/>
      <c r="D48" s="205"/>
      <c r="E48" s="202"/>
      <c r="F48" s="202"/>
      <c r="G48" s="206"/>
      <c r="H48" s="206"/>
      <c r="I48" s="202"/>
      <c r="J48" s="219"/>
      <c r="K48" s="202"/>
      <c r="L48" s="206"/>
      <c r="M48" s="206"/>
      <c r="N48" s="202"/>
      <c r="O48" s="202"/>
      <c r="P48" s="205"/>
      <c r="Q48" s="207"/>
      <c r="R48" s="202"/>
      <c r="S48" s="202"/>
      <c r="T48" s="202"/>
      <c r="U48" s="203"/>
      <c r="V48" s="202"/>
      <c r="W48" s="202"/>
      <c r="X48" s="202"/>
    </row>
    <row r="49" spans="3:24" x14ac:dyDescent="0.45">
      <c r="C49" s="204"/>
      <c r="D49" s="205"/>
      <c r="E49" s="202"/>
      <c r="F49" s="202"/>
      <c r="G49" s="206"/>
      <c r="H49" s="206"/>
      <c r="I49" s="202"/>
      <c r="J49" s="219"/>
      <c r="K49" s="202"/>
      <c r="L49" s="206"/>
      <c r="M49" s="206"/>
      <c r="N49" s="202"/>
      <c r="O49" s="202"/>
      <c r="P49" s="205"/>
      <c r="Q49" s="207"/>
      <c r="R49" s="202"/>
      <c r="S49" s="202"/>
      <c r="T49" s="202"/>
      <c r="U49" s="203"/>
      <c r="V49" s="202"/>
      <c r="W49" s="202"/>
      <c r="X49" s="202"/>
    </row>
    <row r="50" spans="3:24" x14ac:dyDescent="0.45">
      <c r="C50" s="204"/>
      <c r="D50" s="205"/>
      <c r="E50" s="202"/>
      <c r="F50" s="202"/>
      <c r="G50" s="206"/>
      <c r="H50" s="206"/>
      <c r="I50" s="202"/>
      <c r="J50" s="219"/>
      <c r="K50" s="202"/>
      <c r="L50" s="206"/>
      <c r="M50" s="206"/>
      <c r="N50" s="202"/>
      <c r="O50" s="202"/>
      <c r="P50" s="205"/>
      <c r="Q50" s="207"/>
      <c r="R50" s="202"/>
      <c r="S50" s="202"/>
      <c r="T50" s="202"/>
      <c r="U50" s="203"/>
      <c r="V50" s="202"/>
      <c r="W50" s="202"/>
      <c r="X50" s="202"/>
    </row>
    <row r="51" spans="3:24" x14ac:dyDescent="0.45">
      <c r="C51" s="204"/>
      <c r="D51" s="205"/>
      <c r="E51" s="202"/>
      <c r="F51" s="202"/>
      <c r="G51" s="206"/>
      <c r="H51" s="206"/>
      <c r="I51" s="202"/>
      <c r="J51" s="219"/>
      <c r="K51" s="202"/>
      <c r="L51" s="206"/>
      <c r="M51" s="206"/>
      <c r="N51" s="202"/>
      <c r="O51" s="202"/>
      <c r="P51" s="205"/>
      <c r="Q51" s="207"/>
      <c r="R51" s="202"/>
      <c r="S51" s="202"/>
      <c r="T51" s="202"/>
      <c r="U51" s="203"/>
      <c r="V51" s="202"/>
      <c r="W51" s="202"/>
      <c r="X51" s="202"/>
    </row>
    <row r="52" spans="3:24" x14ac:dyDescent="0.45">
      <c r="C52" s="204"/>
      <c r="D52" s="205"/>
      <c r="E52" s="202"/>
      <c r="F52" s="202"/>
      <c r="G52" s="206"/>
      <c r="H52" s="206"/>
      <c r="I52" s="202"/>
      <c r="J52" s="219"/>
      <c r="K52" s="202"/>
      <c r="L52" s="206"/>
      <c r="M52" s="206"/>
      <c r="N52" s="202"/>
      <c r="O52" s="202"/>
      <c r="P52" s="205"/>
      <c r="Q52" s="207"/>
      <c r="R52" s="202"/>
      <c r="S52" s="202"/>
      <c r="T52" s="202"/>
      <c r="U52" s="203"/>
      <c r="V52" s="202"/>
      <c r="W52" s="202"/>
      <c r="X52" s="202"/>
    </row>
    <row r="53" spans="3:24" x14ac:dyDescent="0.45">
      <c r="C53" s="204"/>
      <c r="D53" s="205"/>
      <c r="E53" s="202"/>
      <c r="F53" s="202"/>
      <c r="G53" s="206"/>
      <c r="H53" s="206"/>
      <c r="I53" s="202"/>
      <c r="J53" s="219"/>
      <c r="K53" s="202"/>
      <c r="L53" s="206"/>
      <c r="M53" s="206"/>
      <c r="N53" s="202"/>
      <c r="O53" s="202"/>
      <c r="P53" s="205"/>
      <c r="Q53" s="207"/>
      <c r="R53" s="202"/>
      <c r="S53" s="202"/>
      <c r="T53" s="202"/>
      <c r="U53" s="203"/>
      <c r="V53" s="202"/>
      <c r="W53" s="202"/>
      <c r="X53" s="202"/>
    </row>
    <row r="54" spans="3:24" x14ac:dyDescent="0.45">
      <c r="C54" s="204"/>
      <c r="D54" s="205"/>
      <c r="E54" s="202"/>
      <c r="F54" s="202"/>
      <c r="G54" s="206"/>
      <c r="H54" s="206"/>
      <c r="I54" s="202"/>
      <c r="J54" s="219"/>
      <c r="K54" s="202"/>
      <c r="L54" s="206"/>
      <c r="M54" s="206"/>
      <c r="N54" s="202"/>
      <c r="O54" s="202"/>
      <c r="P54" s="205"/>
      <c r="Q54" s="207"/>
      <c r="R54" s="202"/>
      <c r="S54" s="202"/>
      <c r="T54" s="202"/>
      <c r="U54" s="203"/>
      <c r="V54" s="202"/>
      <c r="W54" s="202"/>
      <c r="X54" s="202"/>
    </row>
    <row r="55" spans="3:24" x14ac:dyDescent="0.45">
      <c r="C55" s="204"/>
      <c r="D55" s="205"/>
      <c r="E55" s="202"/>
      <c r="F55" s="202"/>
      <c r="G55" s="206"/>
      <c r="H55" s="206"/>
      <c r="I55" s="202"/>
      <c r="J55" s="219"/>
      <c r="K55" s="202"/>
      <c r="L55" s="206"/>
      <c r="M55" s="206"/>
      <c r="N55" s="202"/>
      <c r="O55" s="202"/>
      <c r="P55" s="205"/>
      <c r="Q55" s="207"/>
      <c r="R55" s="202"/>
      <c r="S55" s="202"/>
      <c r="T55" s="202"/>
      <c r="U55" s="203"/>
      <c r="V55" s="202"/>
      <c r="W55" s="202"/>
      <c r="X55" s="202"/>
    </row>
    <row r="56" spans="3:24" x14ac:dyDescent="0.45">
      <c r="C56" s="204"/>
      <c r="D56" s="205"/>
      <c r="E56" s="202"/>
      <c r="F56" s="202"/>
      <c r="G56" s="206"/>
      <c r="H56" s="206"/>
      <c r="I56" s="202"/>
      <c r="J56" s="219"/>
      <c r="K56" s="202"/>
      <c r="L56" s="206"/>
      <c r="M56" s="206"/>
      <c r="N56" s="202"/>
      <c r="O56" s="202"/>
      <c r="P56" s="205"/>
      <c r="Q56" s="207"/>
      <c r="R56" s="202"/>
      <c r="S56" s="202"/>
      <c r="T56" s="202"/>
      <c r="U56" s="203"/>
      <c r="V56" s="202"/>
      <c r="W56" s="202"/>
      <c r="X56" s="202"/>
    </row>
    <row r="57" spans="3:24" x14ac:dyDescent="0.45">
      <c r="C57" s="204"/>
      <c r="D57" s="205"/>
      <c r="E57" s="202"/>
      <c r="F57" s="202"/>
      <c r="G57" s="206"/>
      <c r="H57" s="206"/>
      <c r="I57" s="202"/>
      <c r="J57" s="219"/>
      <c r="K57" s="202"/>
      <c r="L57" s="206"/>
      <c r="M57" s="206"/>
      <c r="N57" s="202"/>
      <c r="O57" s="202"/>
      <c r="P57" s="205"/>
      <c r="Q57" s="207"/>
      <c r="R57" s="202"/>
      <c r="S57" s="202"/>
      <c r="T57" s="202"/>
      <c r="U57" s="203"/>
      <c r="V57" s="202"/>
      <c r="W57" s="202"/>
      <c r="X57" s="202"/>
    </row>
    <row r="58" spans="3:24" x14ac:dyDescent="0.45">
      <c r="C58" s="204"/>
      <c r="D58" s="205"/>
      <c r="E58" s="202"/>
      <c r="F58" s="202"/>
      <c r="G58" s="206"/>
      <c r="H58" s="206"/>
      <c r="I58" s="202"/>
      <c r="J58" s="219"/>
      <c r="K58" s="202"/>
      <c r="L58" s="206"/>
      <c r="M58" s="206"/>
      <c r="N58" s="202"/>
      <c r="O58" s="202"/>
      <c r="P58" s="205"/>
      <c r="Q58" s="207"/>
      <c r="R58" s="202"/>
      <c r="S58" s="202"/>
      <c r="T58" s="202"/>
      <c r="U58" s="203"/>
      <c r="V58" s="202"/>
      <c r="W58" s="202"/>
      <c r="X58" s="202"/>
    </row>
    <row r="59" spans="3:24" x14ac:dyDescent="0.45">
      <c r="C59" s="204"/>
      <c r="D59" s="205"/>
      <c r="E59" s="202"/>
      <c r="F59" s="202"/>
      <c r="G59" s="206"/>
      <c r="H59" s="206"/>
      <c r="I59" s="202"/>
      <c r="J59" s="219"/>
      <c r="K59" s="202"/>
      <c r="L59" s="206"/>
      <c r="M59" s="206"/>
      <c r="N59" s="202"/>
      <c r="O59" s="202"/>
      <c r="P59" s="205"/>
      <c r="Q59" s="207"/>
      <c r="R59" s="202"/>
      <c r="S59" s="202"/>
      <c r="T59" s="202"/>
      <c r="U59" s="203"/>
      <c r="V59" s="202"/>
      <c r="W59" s="202"/>
      <c r="X59" s="202"/>
    </row>
    <row r="60" spans="3:24" x14ac:dyDescent="0.45">
      <c r="C60" s="204"/>
      <c r="D60" s="205"/>
      <c r="E60" s="202"/>
      <c r="F60" s="202"/>
      <c r="G60" s="206"/>
      <c r="H60" s="206"/>
      <c r="I60" s="202"/>
      <c r="J60" s="219"/>
      <c r="K60" s="202"/>
      <c r="L60" s="206"/>
      <c r="M60" s="206"/>
      <c r="N60" s="202"/>
      <c r="O60" s="202"/>
      <c r="P60" s="205"/>
      <c r="Q60" s="207"/>
      <c r="R60" s="202"/>
      <c r="S60" s="202"/>
      <c r="T60" s="202"/>
      <c r="U60" s="203"/>
      <c r="V60" s="202"/>
      <c r="W60" s="202"/>
      <c r="X60" s="202"/>
    </row>
    <row r="61" spans="3:24" x14ac:dyDescent="0.45">
      <c r="C61" s="204"/>
      <c r="D61" s="205"/>
      <c r="E61" s="202"/>
      <c r="F61" s="202"/>
      <c r="G61" s="206"/>
      <c r="H61" s="206"/>
      <c r="I61" s="202"/>
      <c r="J61" s="219"/>
      <c r="K61" s="202"/>
      <c r="L61" s="206"/>
      <c r="M61" s="206"/>
      <c r="N61" s="202"/>
      <c r="O61" s="202"/>
      <c r="P61" s="205"/>
      <c r="Q61" s="207"/>
      <c r="R61" s="202"/>
      <c r="S61" s="202"/>
      <c r="T61" s="202"/>
      <c r="U61" s="203"/>
      <c r="V61" s="202"/>
      <c r="W61" s="202"/>
      <c r="X61" s="202"/>
    </row>
    <row r="62" spans="3:24" x14ac:dyDescent="0.45">
      <c r="C62" s="204"/>
      <c r="D62" s="205"/>
      <c r="E62" s="202"/>
      <c r="F62" s="202"/>
      <c r="G62" s="206"/>
      <c r="H62" s="206"/>
      <c r="I62" s="202"/>
      <c r="J62" s="219"/>
      <c r="K62" s="202"/>
      <c r="L62" s="206"/>
      <c r="M62" s="206"/>
      <c r="N62" s="202"/>
      <c r="O62" s="202"/>
      <c r="P62" s="205"/>
      <c r="Q62" s="207"/>
      <c r="R62" s="202"/>
      <c r="S62" s="202"/>
      <c r="T62" s="202"/>
      <c r="U62" s="203"/>
      <c r="V62" s="202"/>
      <c r="W62" s="202"/>
      <c r="X62" s="202"/>
    </row>
    <row r="63" spans="3:24" x14ac:dyDescent="0.45">
      <c r="C63" s="204"/>
      <c r="D63" s="205"/>
      <c r="E63" s="202"/>
      <c r="F63" s="202"/>
      <c r="G63" s="206"/>
      <c r="H63" s="206"/>
      <c r="I63" s="202"/>
      <c r="J63" s="219"/>
      <c r="K63" s="202"/>
      <c r="L63" s="206"/>
      <c r="M63" s="206"/>
      <c r="N63" s="202"/>
      <c r="O63" s="202"/>
      <c r="P63" s="205"/>
      <c r="Q63" s="207"/>
      <c r="R63" s="202"/>
      <c r="S63" s="202"/>
      <c r="T63" s="202"/>
      <c r="U63" s="203"/>
      <c r="V63" s="202"/>
      <c r="W63" s="202"/>
      <c r="X63" s="202"/>
    </row>
    <row r="64" spans="3:24" x14ac:dyDescent="0.45">
      <c r="C64" s="204"/>
      <c r="D64" s="205"/>
      <c r="E64" s="202"/>
      <c r="F64" s="202"/>
      <c r="G64" s="206"/>
      <c r="H64" s="206"/>
      <c r="I64" s="202"/>
      <c r="J64" s="219"/>
      <c r="K64" s="202"/>
      <c r="L64" s="206"/>
      <c r="M64" s="206"/>
      <c r="N64" s="202"/>
      <c r="O64" s="202"/>
      <c r="P64" s="205"/>
      <c r="Q64" s="207"/>
      <c r="R64" s="202"/>
      <c r="S64" s="202"/>
      <c r="T64" s="202"/>
      <c r="U64" s="203"/>
      <c r="V64" s="202"/>
      <c r="W64" s="202"/>
      <c r="X64" s="202"/>
    </row>
    <row r="65" spans="3:24" x14ac:dyDescent="0.45">
      <c r="C65" s="204"/>
      <c r="D65" s="205"/>
      <c r="E65" s="202"/>
      <c r="F65" s="202"/>
      <c r="G65" s="206"/>
      <c r="H65" s="206"/>
      <c r="I65" s="202"/>
      <c r="J65" s="219"/>
      <c r="K65" s="202"/>
      <c r="L65" s="206"/>
      <c r="M65" s="206"/>
      <c r="N65" s="202"/>
      <c r="O65" s="202"/>
      <c r="P65" s="205"/>
      <c r="Q65" s="207"/>
      <c r="R65" s="202"/>
      <c r="S65" s="202"/>
      <c r="T65" s="202"/>
      <c r="U65" s="203"/>
      <c r="V65" s="202"/>
      <c r="W65" s="202"/>
      <c r="X65" s="202"/>
    </row>
    <row r="66" spans="3:24" x14ac:dyDescent="0.45">
      <c r="C66" s="204"/>
      <c r="D66" s="205"/>
      <c r="E66" s="202"/>
      <c r="F66" s="202"/>
      <c r="G66" s="206"/>
      <c r="H66" s="206"/>
      <c r="I66" s="202"/>
      <c r="J66" s="219"/>
      <c r="K66" s="202"/>
      <c r="L66" s="206"/>
      <c r="M66" s="206"/>
      <c r="N66" s="202"/>
      <c r="O66" s="202"/>
      <c r="P66" s="205"/>
      <c r="Q66" s="207"/>
      <c r="R66" s="202"/>
      <c r="S66" s="202"/>
      <c r="T66" s="202"/>
      <c r="U66" s="203"/>
      <c r="V66" s="202"/>
      <c r="W66" s="202"/>
      <c r="X66" s="202"/>
    </row>
    <row r="67" spans="3:24" x14ac:dyDescent="0.45">
      <c r="C67" s="204"/>
      <c r="D67" s="205"/>
      <c r="E67" s="202"/>
      <c r="F67" s="202"/>
      <c r="G67" s="206"/>
      <c r="H67" s="206"/>
      <c r="I67" s="202"/>
      <c r="J67" s="219"/>
      <c r="K67" s="202"/>
      <c r="L67" s="206"/>
      <c r="M67" s="206"/>
      <c r="N67" s="202"/>
      <c r="O67" s="202"/>
      <c r="P67" s="205"/>
      <c r="Q67" s="207"/>
      <c r="R67" s="202"/>
      <c r="S67" s="202"/>
      <c r="T67" s="202"/>
      <c r="U67" s="203"/>
      <c r="V67" s="202"/>
      <c r="W67" s="202"/>
      <c r="X67" s="202"/>
    </row>
    <row r="68" spans="3:24" x14ac:dyDescent="0.45">
      <c r="C68" s="204"/>
      <c r="D68" s="205"/>
      <c r="E68" s="202"/>
      <c r="F68" s="202"/>
      <c r="G68" s="206"/>
      <c r="H68" s="206"/>
      <c r="I68" s="202"/>
      <c r="J68" s="219"/>
      <c r="K68" s="202"/>
      <c r="L68" s="206"/>
      <c r="M68" s="206"/>
      <c r="N68" s="202"/>
      <c r="O68" s="202"/>
      <c r="P68" s="205"/>
      <c r="Q68" s="207"/>
      <c r="R68" s="202"/>
      <c r="S68" s="202"/>
      <c r="T68" s="202"/>
      <c r="U68" s="203"/>
      <c r="V68" s="202"/>
      <c r="W68" s="202"/>
      <c r="X68" s="202"/>
    </row>
    <row r="69" spans="3:24" x14ac:dyDescent="0.45">
      <c r="C69" s="204"/>
      <c r="D69" s="205"/>
      <c r="E69" s="202"/>
      <c r="F69" s="202"/>
      <c r="G69" s="206"/>
      <c r="H69" s="206"/>
      <c r="I69" s="202"/>
      <c r="J69" s="219"/>
      <c r="K69" s="202"/>
      <c r="L69" s="206"/>
      <c r="M69" s="206"/>
      <c r="N69" s="202"/>
      <c r="O69" s="202"/>
      <c r="P69" s="205"/>
      <c r="Q69" s="207"/>
      <c r="R69" s="202"/>
      <c r="S69" s="202"/>
      <c r="T69" s="202"/>
      <c r="U69" s="203"/>
      <c r="V69" s="202"/>
      <c r="W69" s="202"/>
      <c r="X69" s="202"/>
    </row>
    <row r="70" spans="3:24" x14ac:dyDescent="0.45">
      <c r="C70" s="204"/>
      <c r="D70" s="205"/>
      <c r="E70" s="202"/>
      <c r="F70" s="202"/>
      <c r="G70" s="206"/>
      <c r="H70" s="206"/>
      <c r="I70" s="202"/>
      <c r="J70" s="219"/>
      <c r="K70" s="202"/>
      <c r="L70" s="206"/>
      <c r="M70" s="206"/>
      <c r="N70" s="202"/>
      <c r="O70" s="202"/>
      <c r="P70" s="205"/>
      <c r="Q70" s="207"/>
      <c r="R70" s="202"/>
      <c r="S70" s="202"/>
      <c r="T70" s="202"/>
      <c r="U70" s="203"/>
      <c r="V70" s="202"/>
      <c r="W70" s="202"/>
      <c r="X70" s="202"/>
    </row>
    <row r="71" spans="3:24" x14ac:dyDescent="0.45">
      <c r="C71" s="204"/>
      <c r="D71" s="205"/>
      <c r="E71" s="202"/>
      <c r="F71" s="202"/>
      <c r="G71" s="206"/>
      <c r="H71" s="206"/>
      <c r="I71" s="202"/>
      <c r="J71" s="219"/>
      <c r="K71" s="202"/>
      <c r="L71" s="206"/>
      <c r="M71" s="206"/>
      <c r="N71" s="202"/>
      <c r="O71" s="202"/>
      <c r="P71" s="205"/>
      <c r="Q71" s="207"/>
      <c r="R71" s="202"/>
      <c r="S71" s="202"/>
      <c r="T71" s="202"/>
      <c r="U71" s="203"/>
      <c r="V71" s="202"/>
      <c r="W71" s="202"/>
      <c r="X71" s="202"/>
    </row>
    <row r="72" spans="3:24" x14ac:dyDescent="0.45">
      <c r="C72" s="204"/>
      <c r="D72" s="205"/>
      <c r="E72" s="202"/>
      <c r="F72" s="202"/>
      <c r="G72" s="206"/>
      <c r="H72" s="206"/>
      <c r="I72" s="202"/>
      <c r="J72" s="219"/>
      <c r="K72" s="202"/>
      <c r="L72" s="206"/>
      <c r="M72" s="206"/>
      <c r="N72" s="202"/>
      <c r="O72" s="202"/>
      <c r="P72" s="205"/>
      <c r="Q72" s="207"/>
      <c r="R72" s="202"/>
      <c r="S72" s="202"/>
      <c r="T72" s="202"/>
      <c r="U72" s="203"/>
      <c r="V72" s="202"/>
      <c r="W72" s="202"/>
      <c r="X72" s="202"/>
    </row>
    <row r="73" spans="3:24" x14ac:dyDescent="0.45">
      <c r="C73" s="204"/>
      <c r="D73" s="205"/>
      <c r="E73" s="202"/>
      <c r="F73" s="202"/>
      <c r="G73" s="206"/>
      <c r="H73" s="206"/>
      <c r="I73" s="202"/>
      <c r="J73" s="219"/>
      <c r="K73" s="202"/>
      <c r="L73" s="206"/>
      <c r="M73" s="206"/>
      <c r="N73" s="202"/>
      <c r="O73" s="202"/>
      <c r="P73" s="205"/>
      <c r="Q73" s="207"/>
      <c r="R73" s="202"/>
      <c r="S73" s="202"/>
      <c r="T73" s="202"/>
      <c r="U73" s="203"/>
      <c r="V73" s="202"/>
      <c r="W73" s="202"/>
      <c r="X73" s="202"/>
    </row>
    <row r="74" spans="3:24" x14ac:dyDescent="0.45">
      <c r="C74" s="204"/>
      <c r="D74" s="205"/>
      <c r="E74" s="202"/>
      <c r="F74" s="202"/>
      <c r="G74" s="206"/>
      <c r="H74" s="206"/>
      <c r="I74" s="202"/>
      <c r="J74" s="219"/>
      <c r="K74" s="202"/>
      <c r="L74" s="206"/>
      <c r="M74" s="206"/>
      <c r="N74" s="202"/>
      <c r="O74" s="202"/>
      <c r="P74" s="205"/>
      <c r="Q74" s="207"/>
      <c r="R74" s="202"/>
      <c r="S74" s="202"/>
      <c r="T74" s="202"/>
      <c r="U74" s="203"/>
      <c r="V74" s="202"/>
      <c r="W74" s="202"/>
      <c r="X74" s="202"/>
    </row>
    <row r="75" spans="3:24" x14ac:dyDescent="0.45">
      <c r="C75" s="204"/>
      <c r="D75" s="205"/>
      <c r="E75" s="202"/>
      <c r="F75" s="202"/>
      <c r="G75" s="206"/>
      <c r="H75" s="206"/>
      <c r="I75" s="202"/>
      <c r="J75" s="219"/>
      <c r="K75" s="202"/>
      <c r="L75" s="206"/>
      <c r="M75" s="206"/>
      <c r="N75" s="202"/>
      <c r="O75" s="202"/>
      <c r="P75" s="205"/>
      <c r="Q75" s="207"/>
      <c r="R75" s="202"/>
      <c r="S75" s="202"/>
      <c r="T75" s="202"/>
      <c r="U75" s="203"/>
      <c r="V75" s="202"/>
      <c r="W75" s="202"/>
      <c r="X75" s="202"/>
    </row>
    <row r="76" spans="3:24" x14ac:dyDescent="0.45">
      <c r="C76" s="204"/>
      <c r="D76" s="205"/>
      <c r="E76" s="202"/>
      <c r="F76" s="202"/>
      <c r="G76" s="206"/>
      <c r="H76" s="206"/>
      <c r="I76" s="202"/>
      <c r="J76" s="219"/>
      <c r="K76" s="202"/>
      <c r="L76" s="206"/>
      <c r="M76" s="206"/>
      <c r="N76" s="202"/>
      <c r="O76" s="202"/>
      <c r="P76" s="205"/>
      <c r="Q76" s="207"/>
      <c r="R76" s="202"/>
      <c r="S76" s="202"/>
      <c r="T76" s="202"/>
      <c r="U76" s="203"/>
      <c r="V76" s="202"/>
      <c r="W76" s="202"/>
      <c r="X76" s="202"/>
    </row>
    <row r="77" spans="3:24" x14ac:dyDescent="0.45">
      <c r="C77" s="204"/>
      <c r="D77" s="205"/>
      <c r="E77" s="202"/>
      <c r="F77" s="202"/>
      <c r="G77" s="206"/>
      <c r="H77" s="206"/>
      <c r="I77" s="202"/>
      <c r="J77" s="219"/>
      <c r="K77" s="202"/>
      <c r="L77" s="206"/>
      <c r="M77" s="206"/>
      <c r="N77" s="202"/>
      <c r="O77" s="202"/>
      <c r="P77" s="205"/>
      <c r="Q77" s="207"/>
      <c r="R77" s="202"/>
      <c r="S77" s="202"/>
      <c r="T77" s="202"/>
      <c r="U77" s="203"/>
      <c r="V77" s="202"/>
      <c r="W77" s="202"/>
      <c r="X77" s="202"/>
    </row>
    <row r="78" spans="3:24" x14ac:dyDescent="0.45">
      <c r="C78" s="204"/>
      <c r="D78" s="205"/>
      <c r="E78" s="202"/>
      <c r="F78" s="202"/>
      <c r="G78" s="206"/>
      <c r="H78" s="206"/>
      <c r="I78" s="202"/>
      <c r="J78" s="219"/>
      <c r="K78" s="202"/>
      <c r="L78" s="206"/>
      <c r="M78" s="206"/>
      <c r="N78" s="202"/>
      <c r="O78" s="202"/>
      <c r="P78" s="205"/>
      <c r="Q78" s="207"/>
      <c r="R78" s="202"/>
      <c r="S78" s="202"/>
      <c r="T78" s="202"/>
      <c r="U78" s="203"/>
      <c r="V78" s="202"/>
      <c r="W78" s="202"/>
      <c r="X78" s="202"/>
    </row>
    <row r="79" spans="3:24" x14ac:dyDescent="0.45">
      <c r="C79" s="204"/>
      <c r="D79" s="205"/>
      <c r="E79" s="202"/>
      <c r="F79" s="202"/>
      <c r="G79" s="206"/>
      <c r="H79" s="206"/>
      <c r="I79" s="202"/>
      <c r="J79" s="219"/>
      <c r="K79" s="202"/>
      <c r="L79" s="206"/>
      <c r="M79" s="206"/>
      <c r="N79" s="202"/>
      <c r="O79" s="202"/>
      <c r="P79" s="205"/>
      <c r="Q79" s="207"/>
      <c r="R79" s="202"/>
      <c r="S79" s="202"/>
      <c r="T79" s="202"/>
      <c r="U79" s="203"/>
      <c r="V79" s="202"/>
      <c r="W79" s="202"/>
      <c r="X79" s="202"/>
    </row>
    <row r="80" spans="3:24" x14ac:dyDescent="0.45">
      <c r="C80" s="204"/>
      <c r="D80" s="205"/>
      <c r="E80" s="202"/>
      <c r="F80" s="202"/>
      <c r="G80" s="206"/>
      <c r="H80" s="206"/>
      <c r="I80" s="202"/>
      <c r="J80" s="219"/>
      <c r="K80" s="202"/>
      <c r="L80" s="206"/>
      <c r="M80" s="206"/>
      <c r="N80" s="202"/>
      <c r="O80" s="202"/>
      <c r="P80" s="205"/>
      <c r="Q80" s="207"/>
      <c r="R80" s="202"/>
      <c r="S80" s="202"/>
      <c r="T80" s="202"/>
      <c r="U80" s="203"/>
      <c r="V80" s="202"/>
      <c r="W80" s="202"/>
      <c r="X80" s="202"/>
    </row>
    <row r="81" spans="3:24" x14ac:dyDescent="0.45">
      <c r="C81" s="204"/>
      <c r="D81" s="205"/>
      <c r="E81" s="202"/>
      <c r="F81" s="202"/>
      <c r="G81" s="206"/>
      <c r="H81" s="206"/>
      <c r="I81" s="202"/>
      <c r="J81" s="219"/>
      <c r="K81" s="202"/>
      <c r="L81" s="206"/>
      <c r="M81" s="206"/>
      <c r="N81" s="202"/>
      <c r="O81" s="202"/>
      <c r="P81" s="205"/>
      <c r="Q81" s="207"/>
      <c r="R81" s="202"/>
      <c r="S81" s="202"/>
      <c r="T81" s="202"/>
      <c r="U81" s="203"/>
      <c r="V81" s="202"/>
      <c r="W81" s="202"/>
      <c r="X81" s="202"/>
    </row>
    <row r="82" spans="3:24" x14ac:dyDescent="0.45">
      <c r="C82" s="204"/>
      <c r="D82" s="205"/>
      <c r="E82" s="202"/>
      <c r="F82" s="202"/>
      <c r="G82" s="206"/>
      <c r="H82" s="206"/>
      <c r="I82" s="202"/>
      <c r="J82" s="219"/>
      <c r="K82" s="202"/>
      <c r="L82" s="206"/>
      <c r="M82" s="206"/>
      <c r="N82" s="202"/>
      <c r="O82" s="202"/>
      <c r="P82" s="205"/>
      <c r="Q82" s="207"/>
      <c r="R82" s="202"/>
      <c r="S82" s="202"/>
      <c r="T82" s="202"/>
      <c r="U82" s="203"/>
      <c r="V82" s="202"/>
      <c r="W82" s="202"/>
      <c r="X82" s="202"/>
    </row>
    <row r="83" spans="3:24" x14ac:dyDescent="0.45">
      <c r="C83" s="204"/>
      <c r="D83" s="205"/>
      <c r="E83" s="202"/>
      <c r="F83" s="202"/>
      <c r="G83" s="206"/>
      <c r="H83" s="206"/>
      <c r="I83" s="202"/>
      <c r="J83" s="219"/>
      <c r="K83" s="202"/>
      <c r="L83" s="206"/>
      <c r="M83" s="206"/>
      <c r="N83" s="202"/>
      <c r="O83" s="202"/>
      <c r="P83" s="205"/>
      <c r="Q83" s="207"/>
      <c r="R83" s="202"/>
      <c r="S83" s="202"/>
      <c r="T83" s="202"/>
      <c r="U83" s="203"/>
      <c r="V83" s="202"/>
      <c r="W83" s="202"/>
      <c r="X83" s="202"/>
    </row>
    <row r="84" spans="3:24" x14ac:dyDescent="0.45">
      <c r="C84" s="204"/>
      <c r="D84" s="205"/>
      <c r="E84" s="202"/>
      <c r="F84" s="202"/>
      <c r="G84" s="206"/>
      <c r="H84" s="206"/>
      <c r="I84" s="202"/>
      <c r="J84" s="219"/>
      <c r="K84" s="202"/>
      <c r="L84" s="206"/>
      <c r="M84" s="206"/>
      <c r="N84" s="202"/>
      <c r="O84" s="202"/>
      <c r="P84" s="205"/>
      <c r="Q84" s="207"/>
      <c r="R84" s="202"/>
      <c r="S84" s="202"/>
      <c r="T84" s="202"/>
      <c r="U84" s="203"/>
      <c r="V84" s="202"/>
      <c r="W84" s="202"/>
      <c r="X84" s="202"/>
    </row>
    <row r="85" spans="3:24" x14ac:dyDescent="0.45">
      <c r="C85" s="204"/>
      <c r="D85" s="205"/>
      <c r="E85" s="202"/>
      <c r="F85" s="202"/>
      <c r="G85" s="206"/>
      <c r="H85" s="206"/>
      <c r="I85" s="202"/>
      <c r="J85" s="219"/>
      <c r="K85" s="202"/>
      <c r="L85" s="206"/>
      <c r="M85" s="206"/>
      <c r="N85" s="202"/>
      <c r="O85" s="202"/>
      <c r="P85" s="205"/>
      <c r="Q85" s="207"/>
      <c r="R85" s="202"/>
      <c r="S85" s="202"/>
      <c r="T85" s="202"/>
      <c r="U85" s="203"/>
      <c r="V85" s="202"/>
      <c r="W85" s="202"/>
      <c r="X85" s="202"/>
    </row>
    <row r="86" spans="3:24" x14ac:dyDescent="0.45">
      <c r="C86" s="204"/>
      <c r="D86" s="205"/>
      <c r="E86" s="202"/>
      <c r="F86" s="202"/>
      <c r="G86" s="206"/>
      <c r="H86" s="206"/>
      <c r="I86" s="202"/>
      <c r="J86" s="219"/>
      <c r="K86" s="202"/>
      <c r="L86" s="206"/>
      <c r="M86" s="206"/>
      <c r="N86" s="202"/>
      <c r="O86" s="202"/>
      <c r="P86" s="205"/>
      <c r="Q86" s="207"/>
      <c r="R86" s="202"/>
      <c r="S86" s="202"/>
      <c r="T86" s="202"/>
      <c r="U86" s="203"/>
      <c r="V86" s="202"/>
      <c r="W86" s="202"/>
      <c r="X86" s="202"/>
    </row>
    <row r="87" spans="3:24" x14ac:dyDescent="0.45">
      <c r="C87" s="204"/>
      <c r="D87" s="205"/>
      <c r="E87" s="202"/>
      <c r="F87" s="202"/>
      <c r="G87" s="206"/>
      <c r="H87" s="206"/>
      <c r="I87" s="202"/>
      <c r="J87" s="219"/>
      <c r="K87" s="202"/>
      <c r="L87" s="206"/>
      <c r="M87" s="206"/>
      <c r="N87" s="202"/>
      <c r="O87" s="202"/>
      <c r="P87" s="205"/>
      <c r="Q87" s="207"/>
      <c r="R87" s="202"/>
      <c r="S87" s="202"/>
      <c r="T87" s="202"/>
      <c r="U87" s="203"/>
      <c r="V87" s="202"/>
      <c r="W87" s="202"/>
      <c r="X87" s="202"/>
    </row>
    <row r="88" spans="3:24" x14ac:dyDescent="0.45">
      <c r="C88" s="204"/>
      <c r="D88" s="205"/>
      <c r="E88" s="202"/>
      <c r="F88" s="202"/>
      <c r="G88" s="206"/>
      <c r="H88" s="206"/>
      <c r="I88" s="202"/>
      <c r="J88" s="219"/>
      <c r="K88" s="202"/>
      <c r="L88" s="206"/>
      <c r="M88" s="206"/>
      <c r="N88" s="202"/>
      <c r="O88" s="202"/>
      <c r="P88" s="205"/>
      <c r="Q88" s="207"/>
      <c r="R88" s="202"/>
      <c r="S88" s="202"/>
      <c r="T88" s="202"/>
      <c r="U88" s="203"/>
      <c r="V88" s="202"/>
      <c r="W88" s="202"/>
      <c r="X88" s="202"/>
    </row>
    <row r="89" spans="3:24" x14ac:dyDescent="0.45">
      <c r="C89" s="204"/>
      <c r="D89" s="205"/>
      <c r="E89" s="202"/>
      <c r="F89" s="202"/>
      <c r="G89" s="206"/>
      <c r="H89" s="206"/>
      <c r="I89" s="202"/>
      <c r="J89" s="219"/>
      <c r="K89" s="202"/>
      <c r="L89" s="206"/>
      <c r="M89" s="206"/>
      <c r="N89" s="202"/>
      <c r="O89" s="202"/>
      <c r="P89" s="205"/>
      <c r="Q89" s="207"/>
      <c r="R89" s="202"/>
      <c r="S89" s="202"/>
      <c r="T89" s="202"/>
      <c r="U89" s="203"/>
      <c r="V89" s="202"/>
      <c r="W89" s="202"/>
      <c r="X89" s="202"/>
    </row>
    <row r="90" spans="3:24" x14ac:dyDescent="0.45">
      <c r="C90" s="204"/>
      <c r="D90" s="205"/>
      <c r="E90" s="202"/>
      <c r="F90" s="202"/>
      <c r="G90" s="206"/>
      <c r="H90" s="206"/>
      <c r="I90" s="202"/>
      <c r="J90" s="219"/>
      <c r="K90" s="202"/>
      <c r="L90" s="206"/>
      <c r="M90" s="206"/>
      <c r="N90" s="202"/>
      <c r="O90" s="202"/>
      <c r="P90" s="205"/>
      <c r="Q90" s="207"/>
      <c r="R90" s="202"/>
      <c r="S90" s="202"/>
      <c r="T90" s="202"/>
      <c r="U90" s="203"/>
      <c r="V90" s="202"/>
      <c r="W90" s="202"/>
      <c r="X90" s="202"/>
    </row>
    <row r="91" spans="3:24" x14ac:dyDescent="0.45">
      <c r="C91" s="204"/>
      <c r="D91" s="205"/>
      <c r="E91" s="202"/>
      <c r="F91" s="202"/>
      <c r="G91" s="206"/>
      <c r="H91" s="206"/>
      <c r="I91" s="202"/>
      <c r="J91" s="219"/>
      <c r="K91" s="202"/>
      <c r="L91" s="206"/>
      <c r="M91" s="206"/>
      <c r="N91" s="202"/>
      <c r="O91" s="202"/>
      <c r="P91" s="205"/>
      <c r="Q91" s="207"/>
      <c r="R91" s="202"/>
      <c r="S91" s="202"/>
      <c r="T91" s="202"/>
      <c r="U91" s="203"/>
      <c r="V91" s="202"/>
      <c r="W91" s="202"/>
      <c r="X91" s="202"/>
    </row>
    <row r="92" spans="3:24" x14ac:dyDescent="0.45">
      <c r="C92" s="204"/>
      <c r="D92" s="205"/>
      <c r="E92" s="202"/>
      <c r="F92" s="202"/>
      <c r="G92" s="206"/>
      <c r="H92" s="206"/>
      <c r="I92" s="202"/>
      <c r="J92" s="219"/>
      <c r="K92" s="202"/>
      <c r="L92" s="206"/>
      <c r="M92" s="206"/>
      <c r="N92" s="202"/>
      <c r="O92" s="202"/>
      <c r="P92" s="205"/>
      <c r="Q92" s="207"/>
      <c r="R92" s="202"/>
      <c r="S92" s="202"/>
      <c r="T92" s="202"/>
      <c r="U92" s="203"/>
      <c r="V92" s="202"/>
      <c r="W92" s="202"/>
      <c r="X92" s="202"/>
    </row>
    <row r="93" spans="3:24" x14ac:dyDescent="0.45">
      <c r="C93" s="204"/>
      <c r="D93" s="205"/>
      <c r="E93" s="202"/>
      <c r="F93" s="202"/>
      <c r="G93" s="206"/>
      <c r="H93" s="206"/>
      <c r="I93" s="202"/>
      <c r="J93" s="219"/>
      <c r="K93" s="202"/>
      <c r="L93" s="206"/>
      <c r="M93" s="206"/>
      <c r="N93" s="202"/>
      <c r="O93" s="202"/>
      <c r="P93" s="205"/>
      <c r="Q93" s="207"/>
      <c r="R93" s="202"/>
      <c r="S93" s="202"/>
      <c r="T93" s="202"/>
      <c r="U93" s="203"/>
      <c r="V93" s="202"/>
      <c r="W93" s="202"/>
      <c r="X93" s="202"/>
    </row>
    <row r="94" spans="3:24" x14ac:dyDescent="0.45">
      <c r="C94" s="204"/>
      <c r="D94" s="205"/>
      <c r="E94" s="202"/>
      <c r="F94" s="202"/>
      <c r="G94" s="206"/>
      <c r="H94" s="206"/>
      <c r="I94" s="202"/>
      <c r="J94" s="219"/>
      <c r="K94" s="202"/>
      <c r="L94" s="206"/>
      <c r="M94" s="206"/>
      <c r="N94" s="202"/>
      <c r="O94" s="202"/>
      <c r="P94" s="205"/>
      <c r="Q94" s="207"/>
      <c r="R94" s="202"/>
      <c r="S94" s="202"/>
      <c r="T94" s="202"/>
      <c r="U94" s="203"/>
      <c r="V94" s="202"/>
      <c r="W94" s="202"/>
      <c r="X94" s="202"/>
    </row>
    <row r="95" spans="3:24" x14ac:dyDescent="0.45">
      <c r="C95" s="204"/>
      <c r="D95" s="205"/>
      <c r="E95" s="202"/>
      <c r="F95" s="202"/>
      <c r="G95" s="206"/>
      <c r="H95" s="206"/>
      <c r="I95" s="202"/>
      <c r="J95" s="219"/>
      <c r="K95" s="202"/>
      <c r="L95" s="206"/>
      <c r="M95" s="206"/>
      <c r="N95" s="202"/>
      <c r="O95" s="202"/>
      <c r="P95" s="205"/>
      <c r="Q95" s="207"/>
      <c r="R95" s="202"/>
      <c r="S95" s="202"/>
      <c r="T95" s="202"/>
      <c r="U95" s="203"/>
      <c r="V95" s="202"/>
      <c r="W95" s="202"/>
      <c r="X95" s="202"/>
    </row>
    <row r="96" spans="3:24" x14ac:dyDescent="0.45">
      <c r="C96" s="204"/>
      <c r="D96" s="205"/>
      <c r="E96" s="202"/>
      <c r="F96" s="202"/>
      <c r="G96" s="206"/>
      <c r="H96" s="206"/>
      <c r="I96" s="202"/>
      <c r="J96" s="219"/>
      <c r="K96" s="202"/>
      <c r="L96" s="206"/>
      <c r="M96" s="206"/>
      <c r="N96" s="202"/>
      <c r="O96" s="202"/>
      <c r="P96" s="205"/>
      <c r="Q96" s="207"/>
      <c r="R96" s="202"/>
      <c r="S96" s="202"/>
      <c r="T96" s="202"/>
      <c r="U96" s="203"/>
      <c r="V96" s="202"/>
      <c r="W96" s="202"/>
      <c r="X96" s="202"/>
    </row>
    <row r="97" spans="3:24" x14ac:dyDescent="0.45">
      <c r="C97" s="204"/>
      <c r="D97" s="205"/>
      <c r="E97" s="202"/>
      <c r="F97" s="202"/>
      <c r="G97" s="206"/>
      <c r="H97" s="206"/>
      <c r="I97" s="202"/>
      <c r="J97" s="219"/>
      <c r="K97" s="202"/>
      <c r="L97" s="206"/>
      <c r="M97" s="206"/>
      <c r="N97" s="202"/>
      <c r="O97" s="202"/>
      <c r="P97" s="205"/>
      <c r="Q97" s="207"/>
      <c r="R97" s="202"/>
      <c r="S97" s="202"/>
      <c r="T97" s="202"/>
      <c r="U97" s="203"/>
      <c r="V97" s="202"/>
      <c r="W97" s="202"/>
      <c r="X97" s="202"/>
    </row>
    <row r="98" spans="3:24" x14ac:dyDescent="0.45">
      <c r="C98" s="204"/>
      <c r="D98" s="205"/>
      <c r="E98" s="202"/>
      <c r="F98" s="202"/>
      <c r="G98" s="206"/>
      <c r="H98" s="206"/>
      <c r="I98" s="202"/>
      <c r="J98" s="219"/>
      <c r="K98" s="202"/>
      <c r="L98" s="206"/>
      <c r="M98" s="206"/>
      <c r="N98" s="202"/>
      <c r="O98" s="202"/>
      <c r="P98" s="205"/>
      <c r="Q98" s="207"/>
      <c r="R98" s="202"/>
      <c r="S98" s="202"/>
      <c r="T98" s="202"/>
      <c r="U98" s="203"/>
      <c r="V98" s="202"/>
      <c r="W98" s="202"/>
      <c r="X98" s="202"/>
    </row>
    <row r="99" spans="3:24" x14ac:dyDescent="0.45">
      <c r="C99" s="204"/>
      <c r="D99" s="205"/>
      <c r="E99" s="202"/>
      <c r="F99" s="202"/>
      <c r="G99" s="206"/>
      <c r="H99" s="206"/>
      <c r="I99" s="202"/>
      <c r="J99" s="219"/>
      <c r="K99" s="202"/>
      <c r="L99" s="206"/>
      <c r="M99" s="206"/>
      <c r="N99" s="202"/>
      <c r="O99" s="202"/>
      <c r="P99" s="205"/>
      <c r="Q99" s="207"/>
      <c r="R99" s="202"/>
      <c r="S99" s="202"/>
      <c r="T99" s="202"/>
      <c r="U99" s="203"/>
      <c r="V99" s="202"/>
      <c r="W99" s="202"/>
      <c r="X99" s="202"/>
    </row>
    <row r="100" spans="3:24" x14ac:dyDescent="0.45">
      <c r="C100" s="204"/>
      <c r="D100" s="205"/>
      <c r="E100" s="202"/>
      <c r="F100" s="202"/>
      <c r="G100" s="206"/>
      <c r="H100" s="206"/>
      <c r="I100" s="202"/>
      <c r="J100" s="219"/>
      <c r="K100" s="202"/>
      <c r="L100" s="206"/>
      <c r="M100" s="206"/>
      <c r="N100" s="202"/>
      <c r="O100" s="202"/>
      <c r="P100" s="205"/>
      <c r="Q100" s="207"/>
      <c r="R100" s="202"/>
      <c r="S100" s="202"/>
      <c r="T100" s="202"/>
      <c r="U100" s="203"/>
      <c r="V100" s="202"/>
      <c r="W100" s="202"/>
      <c r="X100" s="202"/>
    </row>
    <row r="101" spans="3:24" x14ac:dyDescent="0.45">
      <c r="C101" s="204"/>
      <c r="D101" s="205"/>
      <c r="E101" s="202"/>
      <c r="F101" s="202"/>
      <c r="G101" s="206"/>
      <c r="H101" s="206"/>
      <c r="I101" s="202"/>
      <c r="J101" s="219"/>
      <c r="K101" s="202"/>
      <c r="L101" s="206"/>
      <c r="M101" s="206"/>
      <c r="N101" s="202"/>
      <c r="O101" s="202"/>
      <c r="P101" s="205"/>
      <c r="Q101" s="207"/>
      <c r="R101" s="202"/>
      <c r="S101" s="202"/>
      <c r="T101" s="202"/>
      <c r="U101" s="203"/>
      <c r="V101" s="202"/>
      <c r="W101" s="202"/>
      <c r="X101" s="202"/>
    </row>
    <row r="102" spans="3:24" x14ac:dyDescent="0.45">
      <c r="C102" s="204"/>
      <c r="D102" s="205"/>
      <c r="E102" s="202"/>
      <c r="F102" s="202"/>
      <c r="G102" s="206"/>
      <c r="H102" s="206"/>
      <c r="I102" s="202"/>
      <c r="J102" s="219"/>
      <c r="K102" s="202"/>
      <c r="L102" s="206"/>
      <c r="M102" s="206"/>
      <c r="N102" s="202"/>
      <c r="O102" s="202"/>
      <c r="P102" s="205"/>
      <c r="Q102" s="207"/>
      <c r="R102" s="202"/>
      <c r="S102" s="202"/>
      <c r="T102" s="202"/>
      <c r="U102" s="203"/>
      <c r="V102" s="202"/>
      <c r="W102" s="202"/>
      <c r="X102" s="202"/>
    </row>
    <row r="103" spans="3:24" x14ac:dyDescent="0.45">
      <c r="C103" s="204"/>
      <c r="D103" s="205"/>
      <c r="E103" s="202"/>
      <c r="F103" s="202"/>
      <c r="G103" s="206"/>
      <c r="H103" s="206"/>
      <c r="I103" s="202"/>
      <c r="J103" s="219"/>
      <c r="K103" s="202"/>
      <c r="L103" s="206"/>
      <c r="M103" s="206"/>
      <c r="N103" s="202"/>
      <c r="O103" s="202"/>
      <c r="P103" s="205"/>
      <c r="Q103" s="207"/>
      <c r="R103" s="202"/>
      <c r="S103" s="202"/>
      <c r="T103" s="202"/>
      <c r="U103" s="203"/>
      <c r="V103" s="202"/>
      <c r="W103" s="202"/>
      <c r="X103" s="202"/>
    </row>
    <row r="104" spans="3:24" x14ac:dyDescent="0.45">
      <c r="C104" s="204"/>
      <c r="D104" s="205"/>
      <c r="E104" s="202"/>
      <c r="F104" s="202"/>
      <c r="G104" s="206"/>
      <c r="H104" s="206"/>
      <c r="I104" s="202"/>
      <c r="J104" s="219"/>
      <c r="K104" s="202"/>
      <c r="L104" s="206"/>
      <c r="M104" s="206"/>
      <c r="N104" s="202"/>
      <c r="O104" s="202"/>
      <c r="P104" s="205"/>
      <c r="Q104" s="207"/>
      <c r="R104" s="202"/>
      <c r="S104" s="202"/>
      <c r="T104" s="202"/>
      <c r="U104" s="203"/>
      <c r="V104" s="202"/>
      <c r="W104" s="202"/>
      <c r="X104" s="202"/>
    </row>
    <row r="105" spans="3:24" x14ac:dyDescent="0.45">
      <c r="C105" s="204"/>
      <c r="D105" s="205"/>
      <c r="E105" s="202"/>
      <c r="F105" s="202"/>
      <c r="G105" s="206"/>
      <c r="H105" s="206"/>
      <c r="I105" s="202"/>
      <c r="J105" s="219"/>
      <c r="K105" s="202"/>
      <c r="L105" s="206"/>
      <c r="M105" s="206"/>
      <c r="N105" s="202"/>
      <c r="O105" s="202"/>
      <c r="P105" s="205"/>
      <c r="Q105" s="207"/>
      <c r="R105" s="202"/>
      <c r="S105" s="202"/>
      <c r="T105" s="202"/>
      <c r="U105" s="203"/>
      <c r="V105" s="202"/>
      <c r="W105" s="202"/>
      <c r="X105" s="202"/>
    </row>
    <row r="106" spans="3:24" x14ac:dyDescent="0.45">
      <c r="C106" s="204"/>
      <c r="D106" s="205"/>
      <c r="E106" s="202"/>
      <c r="F106" s="202"/>
      <c r="G106" s="206"/>
      <c r="H106" s="206"/>
      <c r="I106" s="202"/>
      <c r="J106" s="219"/>
      <c r="K106" s="202"/>
      <c r="L106" s="206"/>
      <c r="M106" s="206"/>
      <c r="N106" s="202"/>
      <c r="O106" s="202"/>
      <c r="P106" s="205"/>
      <c r="Q106" s="207"/>
      <c r="R106" s="202"/>
      <c r="S106" s="202"/>
      <c r="T106" s="202"/>
      <c r="U106" s="203"/>
      <c r="V106" s="202"/>
      <c r="W106" s="202"/>
      <c r="X106" s="202"/>
    </row>
    <row r="107" spans="3:24" x14ac:dyDescent="0.45">
      <c r="C107" s="204"/>
      <c r="D107" s="205"/>
      <c r="E107" s="202"/>
      <c r="F107" s="202"/>
      <c r="G107" s="206"/>
      <c r="H107" s="206"/>
      <c r="I107" s="202"/>
      <c r="J107" s="219"/>
      <c r="K107" s="202"/>
      <c r="L107" s="206"/>
      <c r="M107" s="206"/>
      <c r="N107" s="202"/>
      <c r="O107" s="202"/>
      <c r="P107" s="205"/>
      <c r="Q107" s="207"/>
      <c r="R107" s="202"/>
      <c r="S107" s="202"/>
      <c r="T107" s="202"/>
      <c r="U107" s="203"/>
      <c r="V107" s="202"/>
      <c r="W107" s="202"/>
      <c r="X107" s="202"/>
    </row>
    <row r="108" spans="3:24" x14ac:dyDescent="0.45">
      <c r="C108" s="204"/>
      <c r="D108" s="205"/>
      <c r="E108" s="202"/>
      <c r="F108" s="202"/>
      <c r="G108" s="206"/>
      <c r="H108" s="206"/>
      <c r="I108" s="202"/>
      <c r="J108" s="219"/>
      <c r="K108" s="202"/>
      <c r="L108" s="206"/>
      <c r="M108" s="206"/>
      <c r="N108" s="202"/>
      <c r="O108" s="202"/>
      <c r="P108" s="205"/>
      <c r="Q108" s="207"/>
      <c r="R108" s="202"/>
      <c r="S108" s="202"/>
      <c r="T108" s="202"/>
      <c r="U108" s="203"/>
      <c r="V108" s="202"/>
      <c r="W108" s="202"/>
      <c r="X108" s="202"/>
    </row>
    <row r="109" spans="3:24" x14ac:dyDescent="0.45">
      <c r="C109" s="204"/>
      <c r="D109" s="205"/>
      <c r="E109" s="202"/>
      <c r="F109" s="202"/>
      <c r="G109" s="206"/>
      <c r="H109" s="206"/>
      <c r="I109" s="202"/>
      <c r="J109" s="219"/>
      <c r="K109" s="202"/>
      <c r="L109" s="206"/>
      <c r="M109" s="206"/>
      <c r="N109" s="202"/>
      <c r="O109" s="202"/>
      <c r="P109" s="205"/>
      <c r="Q109" s="207"/>
      <c r="R109" s="202"/>
      <c r="S109" s="202"/>
      <c r="T109" s="202"/>
      <c r="U109" s="203"/>
      <c r="V109" s="202"/>
      <c r="W109" s="202"/>
      <c r="X109" s="202"/>
    </row>
    <row r="110" spans="3:24" x14ac:dyDescent="0.45">
      <c r="C110" s="204"/>
      <c r="D110" s="205"/>
      <c r="E110" s="202"/>
      <c r="F110" s="202"/>
      <c r="G110" s="206"/>
      <c r="H110" s="206"/>
      <c r="I110" s="202"/>
      <c r="J110" s="219"/>
      <c r="K110" s="202"/>
      <c r="L110" s="206"/>
      <c r="M110" s="206"/>
      <c r="N110" s="202"/>
      <c r="O110" s="202"/>
      <c r="P110" s="205"/>
      <c r="Q110" s="207"/>
      <c r="R110" s="202"/>
      <c r="S110" s="202"/>
      <c r="T110" s="202"/>
      <c r="U110" s="203"/>
      <c r="V110" s="202"/>
      <c r="W110" s="202"/>
      <c r="X110" s="202"/>
    </row>
    <row r="111" spans="3:24" x14ac:dyDescent="0.45">
      <c r="C111" s="204"/>
      <c r="D111" s="205"/>
      <c r="E111" s="202"/>
      <c r="F111" s="202"/>
      <c r="G111" s="206"/>
      <c r="H111" s="206"/>
      <c r="I111" s="202"/>
      <c r="J111" s="219"/>
      <c r="K111" s="202"/>
      <c r="L111" s="206"/>
      <c r="M111" s="206"/>
      <c r="N111" s="202"/>
      <c r="O111" s="202"/>
      <c r="P111" s="205"/>
      <c r="Q111" s="207"/>
      <c r="R111" s="202"/>
      <c r="S111" s="202"/>
      <c r="T111" s="202"/>
      <c r="U111" s="203"/>
      <c r="V111" s="202"/>
      <c r="W111" s="202"/>
      <c r="X111" s="202"/>
    </row>
    <row r="112" spans="3:24" x14ac:dyDescent="0.45">
      <c r="C112" s="204"/>
      <c r="D112" s="205"/>
      <c r="E112" s="202"/>
      <c r="F112" s="202"/>
      <c r="G112" s="206"/>
      <c r="H112" s="206"/>
      <c r="I112" s="202"/>
      <c r="J112" s="219"/>
      <c r="K112" s="202"/>
      <c r="L112" s="206"/>
      <c r="M112" s="206"/>
      <c r="N112" s="202"/>
      <c r="O112" s="202"/>
      <c r="P112" s="205"/>
      <c r="Q112" s="207"/>
      <c r="R112" s="202"/>
      <c r="S112" s="202"/>
      <c r="T112" s="202"/>
      <c r="U112" s="203"/>
      <c r="V112" s="202"/>
      <c r="W112" s="202"/>
      <c r="X112" s="202"/>
    </row>
    <row r="113" spans="3:24" x14ac:dyDescent="0.45">
      <c r="C113" s="204"/>
      <c r="D113" s="205"/>
      <c r="E113" s="202"/>
      <c r="F113" s="202"/>
      <c r="G113" s="206"/>
      <c r="H113" s="206"/>
      <c r="I113" s="202"/>
      <c r="J113" s="219"/>
      <c r="K113" s="202"/>
      <c r="L113" s="206"/>
      <c r="M113" s="206"/>
      <c r="N113" s="202"/>
      <c r="O113" s="202"/>
      <c r="P113" s="205"/>
      <c r="Q113" s="207"/>
      <c r="R113" s="202"/>
      <c r="S113" s="202"/>
      <c r="T113" s="202"/>
      <c r="U113" s="203"/>
      <c r="V113" s="202"/>
      <c r="W113" s="202"/>
      <c r="X113" s="202"/>
    </row>
    <row r="114" spans="3:24" x14ac:dyDescent="0.45">
      <c r="C114" s="204"/>
      <c r="D114" s="205"/>
      <c r="E114" s="202"/>
      <c r="F114" s="202"/>
      <c r="G114" s="206"/>
      <c r="H114" s="206"/>
      <c r="I114" s="202"/>
      <c r="J114" s="219"/>
      <c r="K114" s="202"/>
      <c r="L114" s="206"/>
      <c r="M114" s="206"/>
      <c r="N114" s="202"/>
      <c r="O114" s="202"/>
      <c r="P114" s="205"/>
      <c r="Q114" s="207"/>
      <c r="R114" s="202"/>
      <c r="S114" s="202"/>
      <c r="T114" s="202"/>
      <c r="U114" s="203"/>
      <c r="V114" s="202"/>
      <c r="W114" s="202"/>
      <c r="X114" s="202"/>
    </row>
    <row r="115" spans="3:24" x14ac:dyDescent="0.45">
      <c r="C115" s="204"/>
      <c r="D115" s="205"/>
      <c r="E115" s="202"/>
      <c r="F115" s="202"/>
      <c r="G115" s="206"/>
      <c r="H115" s="206"/>
      <c r="I115" s="202"/>
      <c r="J115" s="219"/>
      <c r="K115" s="202"/>
      <c r="L115" s="206"/>
      <c r="M115" s="206"/>
      <c r="N115" s="202"/>
      <c r="O115" s="202"/>
      <c r="P115" s="205"/>
      <c r="Q115" s="207"/>
      <c r="R115" s="202"/>
      <c r="S115" s="202"/>
      <c r="T115" s="202"/>
      <c r="U115" s="203"/>
      <c r="V115" s="202"/>
      <c r="W115" s="202"/>
      <c r="X115" s="202"/>
    </row>
    <row r="116" spans="3:24" x14ac:dyDescent="0.45">
      <c r="C116" s="204"/>
      <c r="D116" s="205"/>
      <c r="E116" s="202"/>
      <c r="F116" s="202"/>
      <c r="G116" s="206"/>
      <c r="H116" s="206"/>
      <c r="I116" s="202"/>
      <c r="J116" s="219"/>
      <c r="K116" s="202"/>
      <c r="L116" s="206"/>
      <c r="M116" s="206"/>
      <c r="N116" s="202"/>
      <c r="O116" s="202"/>
      <c r="P116" s="205"/>
      <c r="Q116" s="207"/>
      <c r="R116" s="202"/>
      <c r="S116" s="202"/>
      <c r="T116" s="202"/>
      <c r="U116" s="203"/>
      <c r="V116" s="202"/>
      <c r="W116" s="202"/>
      <c r="X116" s="202"/>
    </row>
    <row r="117" spans="3:24" x14ac:dyDescent="0.45">
      <c r="C117" s="204"/>
      <c r="D117" s="205"/>
      <c r="E117" s="202"/>
      <c r="F117" s="202"/>
      <c r="G117" s="206"/>
      <c r="H117" s="206"/>
      <c r="I117" s="202"/>
      <c r="J117" s="219"/>
      <c r="K117" s="202"/>
      <c r="L117" s="206"/>
      <c r="M117" s="206"/>
      <c r="N117" s="202"/>
      <c r="O117" s="202"/>
      <c r="P117" s="205"/>
      <c r="Q117" s="207"/>
      <c r="R117" s="202"/>
      <c r="S117" s="202"/>
      <c r="T117" s="202"/>
      <c r="U117" s="203"/>
      <c r="V117" s="202"/>
      <c r="W117" s="202"/>
      <c r="X117" s="202"/>
    </row>
    <row r="118" spans="3:24" x14ac:dyDescent="0.45">
      <c r="C118" s="204"/>
      <c r="D118" s="205"/>
      <c r="E118" s="202"/>
      <c r="F118" s="202"/>
      <c r="G118" s="206"/>
      <c r="H118" s="206"/>
      <c r="I118" s="202"/>
      <c r="J118" s="219"/>
      <c r="K118" s="202"/>
      <c r="L118" s="206"/>
      <c r="M118" s="206"/>
      <c r="N118" s="202"/>
      <c r="O118" s="202"/>
      <c r="P118" s="205"/>
      <c r="Q118" s="207"/>
      <c r="R118" s="202"/>
      <c r="S118" s="202"/>
      <c r="T118" s="202"/>
      <c r="U118" s="203"/>
      <c r="V118" s="202"/>
      <c r="W118" s="202"/>
      <c r="X118" s="202"/>
    </row>
    <row r="119" spans="3:24" x14ac:dyDescent="0.45">
      <c r="C119" s="204"/>
      <c r="D119" s="205"/>
      <c r="E119" s="202"/>
      <c r="F119" s="202"/>
      <c r="G119" s="206"/>
      <c r="H119" s="206"/>
      <c r="I119" s="202"/>
      <c r="J119" s="219"/>
      <c r="K119" s="202"/>
      <c r="L119" s="206"/>
      <c r="M119" s="206"/>
      <c r="N119" s="202"/>
      <c r="O119" s="202"/>
      <c r="P119" s="205"/>
      <c r="Q119" s="207"/>
      <c r="R119" s="202"/>
      <c r="S119" s="202"/>
      <c r="T119" s="202"/>
      <c r="U119" s="203"/>
      <c r="V119" s="202"/>
      <c r="W119" s="202"/>
      <c r="X119" s="202"/>
    </row>
    <row r="120" spans="3:24" x14ac:dyDescent="0.45">
      <c r="C120" s="204"/>
      <c r="D120" s="205"/>
      <c r="E120" s="202"/>
      <c r="F120" s="202"/>
      <c r="G120" s="206"/>
      <c r="H120" s="206"/>
      <c r="I120" s="202"/>
      <c r="J120" s="219"/>
      <c r="K120" s="202"/>
      <c r="L120" s="206"/>
      <c r="M120" s="206"/>
      <c r="N120" s="202"/>
      <c r="O120" s="202"/>
      <c r="P120" s="205"/>
      <c r="Q120" s="207"/>
      <c r="R120" s="202"/>
      <c r="S120" s="202"/>
      <c r="T120" s="202"/>
      <c r="U120" s="203"/>
      <c r="V120" s="202"/>
      <c r="W120" s="202"/>
      <c r="X120" s="202"/>
    </row>
    <row r="121" spans="3:24" x14ac:dyDescent="0.45">
      <c r="C121" s="204"/>
      <c r="D121" s="205"/>
      <c r="E121" s="202"/>
      <c r="F121" s="202"/>
      <c r="G121" s="206"/>
      <c r="H121" s="206"/>
      <c r="I121" s="202"/>
      <c r="J121" s="219"/>
      <c r="K121" s="202"/>
      <c r="L121" s="206"/>
      <c r="M121" s="206"/>
      <c r="N121" s="202"/>
      <c r="O121" s="202"/>
      <c r="P121" s="205"/>
      <c r="Q121" s="207"/>
      <c r="R121" s="202"/>
      <c r="S121" s="202"/>
      <c r="T121" s="202"/>
      <c r="U121" s="203"/>
      <c r="V121" s="202"/>
      <c r="W121" s="202"/>
      <c r="X121" s="202"/>
    </row>
    <row r="122" spans="3:24" x14ac:dyDescent="0.45">
      <c r="C122" s="204"/>
      <c r="D122" s="205"/>
      <c r="E122" s="202"/>
      <c r="F122" s="202"/>
      <c r="G122" s="206"/>
      <c r="H122" s="206"/>
      <c r="I122" s="202"/>
      <c r="J122" s="219"/>
      <c r="K122" s="202"/>
      <c r="L122" s="206"/>
      <c r="M122" s="206"/>
      <c r="N122" s="202"/>
      <c r="O122" s="202"/>
      <c r="P122" s="205"/>
      <c r="Q122" s="207"/>
      <c r="R122" s="202"/>
      <c r="S122" s="202"/>
      <c r="T122" s="202"/>
      <c r="U122" s="203"/>
      <c r="V122" s="202"/>
      <c r="W122" s="202"/>
      <c r="X122" s="202"/>
    </row>
    <row r="123" spans="3:24" x14ac:dyDescent="0.45">
      <c r="C123" s="204"/>
      <c r="D123" s="205"/>
      <c r="E123" s="202"/>
      <c r="F123" s="202"/>
      <c r="G123" s="206"/>
      <c r="H123" s="206"/>
      <c r="I123" s="202"/>
      <c r="J123" s="219"/>
      <c r="K123" s="202"/>
      <c r="L123" s="206"/>
      <c r="M123" s="206"/>
      <c r="N123" s="202"/>
      <c r="O123" s="202"/>
      <c r="P123" s="205"/>
      <c r="Q123" s="207"/>
      <c r="R123" s="202"/>
      <c r="S123" s="202"/>
      <c r="T123" s="202"/>
      <c r="U123" s="203"/>
      <c r="V123" s="202"/>
      <c r="W123" s="202"/>
      <c r="X123" s="202"/>
    </row>
    <row r="124" spans="3:24" x14ac:dyDescent="0.45">
      <c r="C124" s="204"/>
      <c r="D124" s="205"/>
      <c r="E124" s="202"/>
      <c r="F124" s="202"/>
      <c r="G124" s="206"/>
      <c r="H124" s="206"/>
      <c r="I124" s="202"/>
      <c r="J124" s="219"/>
      <c r="K124" s="202"/>
      <c r="L124" s="206"/>
      <c r="M124" s="206"/>
      <c r="N124" s="202"/>
      <c r="O124" s="202"/>
      <c r="P124" s="205"/>
      <c r="Q124" s="207"/>
      <c r="R124" s="202"/>
      <c r="S124" s="202"/>
      <c r="T124" s="202"/>
      <c r="U124" s="203"/>
      <c r="V124" s="202"/>
      <c r="W124" s="202"/>
      <c r="X124" s="202"/>
    </row>
    <row r="125" spans="3:24" x14ac:dyDescent="0.45">
      <c r="C125" s="204"/>
      <c r="D125" s="205"/>
      <c r="E125" s="202"/>
      <c r="F125" s="202"/>
      <c r="G125" s="206"/>
      <c r="H125" s="206"/>
      <c r="I125" s="202"/>
      <c r="J125" s="219"/>
      <c r="K125" s="202"/>
      <c r="L125" s="206"/>
      <c r="M125" s="206"/>
      <c r="N125" s="202"/>
      <c r="O125" s="202"/>
      <c r="P125" s="205"/>
      <c r="Q125" s="207"/>
      <c r="R125" s="202"/>
      <c r="S125" s="202"/>
      <c r="T125" s="202"/>
      <c r="U125" s="203"/>
      <c r="V125" s="202"/>
      <c r="W125" s="202"/>
      <c r="X125" s="202"/>
    </row>
    <row r="126" spans="3:24" x14ac:dyDescent="0.45">
      <c r="C126" s="204"/>
      <c r="D126" s="205"/>
      <c r="E126" s="202"/>
      <c r="F126" s="202"/>
      <c r="G126" s="206"/>
      <c r="H126" s="206"/>
      <c r="I126" s="202"/>
      <c r="J126" s="219"/>
      <c r="K126" s="202"/>
      <c r="L126" s="206"/>
      <c r="M126" s="206"/>
      <c r="N126" s="202"/>
      <c r="O126" s="202"/>
      <c r="P126" s="205"/>
      <c r="Q126" s="207"/>
      <c r="R126" s="202"/>
      <c r="S126" s="202"/>
      <c r="T126" s="202"/>
      <c r="U126" s="203"/>
      <c r="V126" s="202"/>
      <c r="W126" s="202"/>
      <c r="X126" s="202"/>
    </row>
    <row r="127" spans="3:24" x14ac:dyDescent="0.45">
      <c r="C127" s="204"/>
      <c r="D127" s="205"/>
      <c r="E127" s="202"/>
      <c r="F127" s="202"/>
      <c r="G127" s="206"/>
      <c r="H127" s="206"/>
      <c r="I127" s="202"/>
      <c r="J127" s="219"/>
      <c r="K127" s="202"/>
      <c r="L127" s="206"/>
      <c r="M127" s="206"/>
      <c r="N127" s="202"/>
      <c r="O127" s="202"/>
      <c r="P127" s="205"/>
      <c r="Q127" s="207"/>
      <c r="R127" s="202"/>
      <c r="S127" s="202"/>
      <c r="T127" s="202"/>
      <c r="U127" s="203"/>
      <c r="V127" s="202"/>
      <c r="W127" s="202"/>
      <c r="X127" s="202"/>
    </row>
    <row r="128" spans="3:24" x14ac:dyDescent="0.45">
      <c r="C128" s="204"/>
      <c r="D128" s="205"/>
      <c r="E128" s="202"/>
      <c r="F128" s="202"/>
      <c r="G128" s="206"/>
      <c r="H128" s="206"/>
      <c r="I128" s="202"/>
      <c r="J128" s="219"/>
      <c r="K128" s="202"/>
      <c r="L128" s="206"/>
      <c r="M128" s="206"/>
      <c r="N128" s="202"/>
      <c r="O128" s="202"/>
      <c r="P128" s="205"/>
      <c r="Q128" s="207"/>
      <c r="R128" s="202"/>
      <c r="S128" s="202"/>
      <c r="T128" s="202"/>
      <c r="U128" s="203"/>
      <c r="V128" s="202"/>
      <c r="W128" s="202"/>
      <c r="X128" s="202"/>
    </row>
    <row r="129" spans="3:24" x14ac:dyDescent="0.45">
      <c r="C129" s="204"/>
      <c r="D129" s="205"/>
      <c r="E129" s="202"/>
      <c r="F129" s="202"/>
      <c r="G129" s="206"/>
      <c r="H129" s="206"/>
      <c r="I129" s="202"/>
      <c r="J129" s="219"/>
      <c r="K129" s="202"/>
      <c r="L129" s="206"/>
      <c r="M129" s="206"/>
      <c r="N129" s="202"/>
      <c r="O129" s="202"/>
      <c r="P129" s="205"/>
      <c r="Q129" s="207"/>
      <c r="R129" s="202"/>
      <c r="S129" s="202"/>
      <c r="T129" s="202"/>
      <c r="U129" s="203"/>
      <c r="V129" s="202"/>
      <c r="W129" s="202"/>
      <c r="X129" s="202"/>
    </row>
    <row r="130" spans="3:24" x14ac:dyDescent="0.45">
      <c r="C130" s="204"/>
      <c r="D130" s="205"/>
      <c r="E130" s="202"/>
      <c r="F130" s="202"/>
      <c r="G130" s="206"/>
      <c r="H130" s="206"/>
      <c r="I130" s="202"/>
      <c r="J130" s="219"/>
      <c r="K130" s="202"/>
      <c r="L130" s="206"/>
      <c r="M130" s="206"/>
      <c r="N130" s="202"/>
      <c r="O130" s="202"/>
      <c r="P130" s="205"/>
      <c r="Q130" s="207"/>
      <c r="R130" s="202"/>
      <c r="S130" s="202"/>
      <c r="T130" s="202"/>
      <c r="U130" s="203"/>
      <c r="V130" s="202"/>
      <c r="W130" s="202"/>
      <c r="X130" s="202"/>
    </row>
    <row r="131" spans="3:24" x14ac:dyDescent="0.45">
      <c r="C131" s="204"/>
      <c r="D131" s="205"/>
      <c r="E131" s="202"/>
      <c r="F131" s="202"/>
      <c r="G131" s="206"/>
      <c r="H131" s="206"/>
      <c r="I131" s="202"/>
      <c r="J131" s="219"/>
      <c r="K131" s="202"/>
      <c r="L131" s="206"/>
      <c r="M131" s="206"/>
      <c r="N131" s="202"/>
      <c r="O131" s="202"/>
      <c r="P131" s="205"/>
      <c r="Q131" s="207"/>
      <c r="R131" s="202"/>
      <c r="S131" s="202"/>
      <c r="T131" s="202"/>
      <c r="U131" s="203"/>
      <c r="V131" s="202"/>
      <c r="W131" s="202"/>
      <c r="X131" s="202"/>
    </row>
    <row r="132" spans="3:24" x14ac:dyDescent="0.45">
      <c r="C132" s="204"/>
      <c r="D132" s="205"/>
      <c r="E132" s="202"/>
      <c r="F132" s="202"/>
      <c r="G132" s="206"/>
      <c r="H132" s="206"/>
      <c r="I132" s="202"/>
      <c r="J132" s="219"/>
      <c r="K132" s="202"/>
      <c r="L132" s="206"/>
      <c r="M132" s="206"/>
      <c r="N132" s="202"/>
      <c r="O132" s="202"/>
      <c r="P132" s="205"/>
      <c r="Q132" s="207"/>
      <c r="R132" s="202"/>
      <c r="S132" s="202"/>
      <c r="T132" s="202"/>
      <c r="U132" s="203"/>
      <c r="V132" s="202"/>
      <c r="W132" s="202"/>
      <c r="X132" s="202"/>
    </row>
    <row r="133" spans="3:24" x14ac:dyDescent="0.45">
      <c r="C133" s="204"/>
      <c r="D133" s="205"/>
      <c r="E133" s="202"/>
      <c r="F133" s="202"/>
      <c r="G133" s="206"/>
      <c r="H133" s="206"/>
      <c r="I133" s="202"/>
      <c r="J133" s="219"/>
      <c r="K133" s="202"/>
      <c r="L133" s="206"/>
      <c r="M133" s="206"/>
      <c r="N133" s="202"/>
      <c r="O133" s="202"/>
      <c r="P133" s="205"/>
      <c r="Q133" s="207"/>
      <c r="R133" s="202"/>
      <c r="S133" s="202"/>
      <c r="T133" s="202"/>
      <c r="U133" s="203"/>
      <c r="V133" s="202"/>
      <c r="W133" s="202"/>
      <c r="X133" s="202"/>
    </row>
    <row r="134" spans="3:24" x14ac:dyDescent="0.45">
      <c r="C134" s="204"/>
      <c r="D134" s="205"/>
      <c r="E134" s="202"/>
      <c r="F134" s="202"/>
      <c r="G134" s="206"/>
      <c r="H134" s="206"/>
      <c r="I134" s="202"/>
      <c r="J134" s="219"/>
      <c r="K134" s="202"/>
      <c r="L134" s="206"/>
      <c r="M134" s="206"/>
      <c r="N134" s="202"/>
      <c r="O134" s="202"/>
      <c r="P134" s="205"/>
      <c r="Q134" s="207"/>
      <c r="R134" s="202"/>
      <c r="S134" s="202"/>
      <c r="T134" s="202"/>
      <c r="U134" s="203"/>
      <c r="V134" s="202"/>
      <c r="W134" s="202"/>
      <c r="X134" s="202"/>
    </row>
    <row r="135" spans="3:24" x14ac:dyDescent="0.45">
      <c r="C135" s="204"/>
      <c r="D135" s="205"/>
      <c r="E135" s="202"/>
      <c r="F135" s="202"/>
      <c r="G135" s="206"/>
      <c r="H135" s="206"/>
      <c r="I135" s="202"/>
      <c r="J135" s="219"/>
      <c r="K135" s="202"/>
      <c r="L135" s="206"/>
      <c r="M135" s="206"/>
      <c r="N135" s="202"/>
      <c r="O135" s="202"/>
      <c r="P135" s="205"/>
      <c r="Q135" s="207"/>
      <c r="R135" s="202"/>
      <c r="S135" s="202"/>
      <c r="T135" s="202"/>
      <c r="U135" s="203"/>
      <c r="V135" s="202"/>
      <c r="W135" s="202"/>
      <c r="X135" s="202"/>
    </row>
    <row r="136" spans="3:24" x14ac:dyDescent="0.45">
      <c r="C136" s="204"/>
      <c r="D136" s="205"/>
      <c r="E136" s="202"/>
      <c r="F136" s="202"/>
      <c r="G136" s="206"/>
      <c r="H136" s="206"/>
      <c r="I136" s="202"/>
      <c r="J136" s="219"/>
      <c r="K136" s="202"/>
      <c r="L136" s="206"/>
      <c r="M136" s="206"/>
      <c r="N136" s="202"/>
      <c r="O136" s="202"/>
      <c r="P136" s="205"/>
      <c r="Q136" s="207"/>
      <c r="R136" s="202"/>
      <c r="S136" s="202"/>
      <c r="T136" s="202"/>
      <c r="U136" s="203"/>
      <c r="V136" s="202"/>
      <c r="W136" s="202"/>
      <c r="X136" s="202"/>
    </row>
    <row r="137" spans="3:24" x14ac:dyDescent="0.45">
      <c r="C137" s="204"/>
      <c r="D137" s="205"/>
      <c r="E137" s="202"/>
      <c r="F137" s="202"/>
      <c r="G137" s="206"/>
      <c r="H137" s="206"/>
      <c r="I137" s="202"/>
      <c r="J137" s="219"/>
      <c r="K137" s="202"/>
      <c r="L137" s="206"/>
      <c r="M137" s="206"/>
      <c r="N137" s="202"/>
      <c r="O137" s="202"/>
      <c r="P137" s="205"/>
      <c r="Q137" s="207"/>
      <c r="R137" s="202"/>
      <c r="S137" s="202"/>
      <c r="T137" s="202"/>
      <c r="U137" s="203"/>
      <c r="V137" s="202"/>
      <c r="W137" s="202"/>
      <c r="X137" s="202"/>
    </row>
    <row r="138" spans="3:24" x14ac:dyDescent="0.45">
      <c r="C138" s="204"/>
      <c r="D138" s="205"/>
      <c r="E138" s="202"/>
      <c r="F138" s="202"/>
      <c r="G138" s="206"/>
      <c r="H138" s="206"/>
      <c r="I138" s="202"/>
      <c r="J138" s="219"/>
      <c r="K138" s="202"/>
      <c r="L138" s="206"/>
      <c r="M138" s="206"/>
      <c r="N138" s="202"/>
      <c r="O138" s="202"/>
      <c r="P138" s="205"/>
      <c r="Q138" s="207"/>
      <c r="R138" s="202"/>
      <c r="S138" s="202"/>
      <c r="T138" s="202"/>
      <c r="U138" s="203"/>
      <c r="V138" s="202"/>
      <c r="W138" s="202"/>
      <c r="X138" s="202"/>
    </row>
    <row r="139" spans="3:24" x14ac:dyDescent="0.45">
      <c r="C139" s="204"/>
      <c r="D139" s="205"/>
      <c r="E139" s="202"/>
      <c r="F139" s="202"/>
      <c r="G139" s="206"/>
      <c r="H139" s="206"/>
      <c r="I139" s="202"/>
      <c r="J139" s="219"/>
      <c r="K139" s="202"/>
      <c r="L139" s="206"/>
      <c r="M139" s="206"/>
      <c r="N139" s="202"/>
      <c r="O139" s="202"/>
      <c r="P139" s="205"/>
      <c r="Q139" s="207"/>
      <c r="R139" s="202"/>
      <c r="S139" s="202"/>
      <c r="T139" s="202"/>
      <c r="U139" s="203"/>
      <c r="V139" s="202"/>
      <c r="W139" s="202"/>
      <c r="X139" s="202"/>
    </row>
    <row r="140" spans="3:24" x14ac:dyDescent="0.45">
      <c r="C140" s="204"/>
      <c r="D140" s="205"/>
      <c r="E140" s="202"/>
      <c r="F140" s="202"/>
      <c r="G140" s="206"/>
      <c r="H140" s="206"/>
      <c r="I140" s="202"/>
      <c r="J140" s="219"/>
      <c r="K140" s="202"/>
      <c r="L140" s="206"/>
      <c r="M140" s="206"/>
      <c r="N140" s="202"/>
      <c r="O140" s="202"/>
      <c r="P140" s="205"/>
      <c r="Q140" s="207"/>
      <c r="R140" s="202"/>
      <c r="S140" s="202"/>
      <c r="T140" s="202"/>
      <c r="U140" s="203"/>
      <c r="V140" s="202"/>
      <c r="W140" s="202"/>
      <c r="X140" s="202"/>
    </row>
    <row r="141" spans="3:24" x14ac:dyDescent="0.45">
      <c r="C141" s="204"/>
      <c r="D141" s="205"/>
      <c r="E141" s="202"/>
      <c r="F141" s="202"/>
      <c r="G141" s="206"/>
      <c r="H141" s="206"/>
      <c r="I141" s="202"/>
      <c r="J141" s="219"/>
      <c r="K141" s="202"/>
      <c r="L141" s="206"/>
      <c r="M141" s="206"/>
      <c r="N141" s="202"/>
      <c r="O141" s="202"/>
      <c r="P141" s="205"/>
      <c r="Q141" s="207"/>
      <c r="R141" s="202"/>
      <c r="S141" s="202"/>
      <c r="T141" s="202"/>
      <c r="U141" s="203"/>
      <c r="V141" s="202"/>
      <c r="W141" s="202"/>
      <c r="X141" s="202"/>
    </row>
    <row r="142" spans="3:24" x14ac:dyDescent="0.45">
      <c r="C142" s="204"/>
      <c r="D142" s="205"/>
      <c r="E142" s="202"/>
      <c r="F142" s="202"/>
      <c r="G142" s="206"/>
      <c r="H142" s="206"/>
      <c r="I142" s="202"/>
      <c r="J142" s="219"/>
      <c r="K142" s="202"/>
      <c r="L142" s="206"/>
      <c r="M142" s="206"/>
      <c r="N142" s="202"/>
      <c r="O142" s="202"/>
      <c r="P142" s="205"/>
      <c r="Q142" s="207"/>
      <c r="R142" s="202"/>
      <c r="S142" s="202"/>
      <c r="T142" s="202"/>
      <c r="U142" s="203"/>
      <c r="V142" s="202"/>
      <c r="W142" s="202"/>
      <c r="X142" s="202"/>
    </row>
    <row r="143" spans="3:24" x14ac:dyDescent="0.45">
      <c r="C143" s="204"/>
      <c r="D143" s="205"/>
      <c r="E143" s="202"/>
      <c r="F143" s="202"/>
      <c r="G143" s="206"/>
      <c r="H143" s="206"/>
      <c r="I143" s="202"/>
      <c r="J143" s="219"/>
      <c r="K143" s="202"/>
      <c r="L143" s="206"/>
      <c r="M143" s="206"/>
      <c r="N143" s="202"/>
      <c r="O143" s="202"/>
      <c r="P143" s="205"/>
      <c r="Q143" s="207"/>
      <c r="R143" s="202"/>
      <c r="S143" s="202"/>
      <c r="T143" s="202"/>
      <c r="U143" s="203"/>
      <c r="V143" s="202"/>
      <c r="W143" s="202"/>
      <c r="X143" s="202"/>
    </row>
    <row r="144" spans="3:24" x14ac:dyDescent="0.45">
      <c r="C144" s="204"/>
      <c r="D144" s="205"/>
      <c r="E144" s="202"/>
      <c r="F144" s="202"/>
      <c r="G144" s="206"/>
      <c r="H144" s="206"/>
      <c r="I144" s="202"/>
      <c r="J144" s="219"/>
      <c r="K144" s="202"/>
      <c r="L144" s="206"/>
      <c r="M144" s="206"/>
      <c r="N144" s="202"/>
      <c r="O144" s="202"/>
      <c r="P144" s="205"/>
      <c r="Q144" s="207"/>
      <c r="R144" s="202"/>
      <c r="S144" s="202"/>
      <c r="T144" s="202"/>
      <c r="U144" s="203"/>
      <c r="V144" s="202"/>
      <c r="W144" s="202"/>
      <c r="X144" s="202"/>
    </row>
    <row r="145" spans="3:24" x14ac:dyDescent="0.45">
      <c r="C145" s="204"/>
      <c r="D145" s="205"/>
      <c r="E145" s="202"/>
      <c r="F145" s="202"/>
      <c r="G145" s="206"/>
      <c r="H145" s="206"/>
      <c r="I145" s="202"/>
      <c r="J145" s="219"/>
      <c r="K145" s="202"/>
      <c r="L145" s="206"/>
      <c r="M145" s="206"/>
      <c r="N145" s="202"/>
      <c r="O145" s="202"/>
      <c r="P145" s="205"/>
      <c r="Q145" s="207"/>
      <c r="R145" s="202"/>
      <c r="S145" s="202"/>
      <c r="T145" s="202"/>
      <c r="U145" s="203"/>
      <c r="V145" s="202"/>
      <c r="W145" s="202"/>
      <c r="X145" s="202"/>
    </row>
    <row r="146" spans="3:24" x14ac:dyDescent="0.45">
      <c r="C146" s="204"/>
      <c r="D146" s="205"/>
      <c r="E146" s="202"/>
      <c r="F146" s="202"/>
      <c r="G146" s="206"/>
      <c r="H146" s="206"/>
      <c r="I146" s="202"/>
      <c r="J146" s="219"/>
      <c r="K146" s="202"/>
      <c r="L146" s="206"/>
      <c r="M146" s="206"/>
      <c r="N146" s="202"/>
      <c r="O146" s="202"/>
      <c r="P146" s="205"/>
      <c r="Q146" s="207"/>
      <c r="R146" s="202"/>
      <c r="S146" s="202"/>
      <c r="T146" s="202"/>
      <c r="U146" s="203"/>
      <c r="V146" s="202"/>
      <c r="W146" s="202"/>
      <c r="X146" s="202"/>
    </row>
    <row r="147" spans="3:24" x14ac:dyDescent="0.45">
      <c r="C147" s="204"/>
      <c r="D147" s="205"/>
      <c r="E147" s="202"/>
      <c r="F147" s="202"/>
      <c r="G147" s="206"/>
      <c r="H147" s="206"/>
      <c r="I147" s="202"/>
      <c r="J147" s="219"/>
      <c r="K147" s="202"/>
      <c r="L147" s="206"/>
      <c r="M147" s="206"/>
      <c r="N147" s="202"/>
      <c r="O147" s="202"/>
      <c r="P147" s="205"/>
      <c r="Q147" s="207"/>
      <c r="R147" s="202"/>
      <c r="S147" s="202"/>
      <c r="T147" s="202"/>
      <c r="U147" s="203"/>
      <c r="V147" s="202"/>
      <c r="W147" s="202"/>
      <c r="X147" s="202"/>
    </row>
    <row r="148" spans="3:24" x14ac:dyDescent="0.45">
      <c r="C148" s="204"/>
      <c r="D148" s="205"/>
      <c r="E148" s="202"/>
      <c r="F148" s="202"/>
      <c r="G148" s="206"/>
      <c r="H148" s="206"/>
      <c r="I148" s="202"/>
      <c r="J148" s="219"/>
      <c r="K148" s="202"/>
      <c r="L148" s="206"/>
      <c r="M148" s="206"/>
      <c r="N148" s="202"/>
      <c r="O148" s="202"/>
      <c r="P148" s="205"/>
      <c r="Q148" s="207"/>
      <c r="R148" s="202"/>
      <c r="S148" s="202"/>
      <c r="T148" s="202"/>
      <c r="U148" s="203"/>
      <c r="V148" s="202"/>
      <c r="W148" s="202"/>
      <c r="X148" s="202"/>
    </row>
    <row r="149" spans="3:24" x14ac:dyDescent="0.45">
      <c r="C149" s="204"/>
      <c r="D149" s="205"/>
      <c r="E149" s="202"/>
      <c r="F149" s="202"/>
      <c r="G149" s="206"/>
      <c r="H149" s="206"/>
      <c r="I149" s="202"/>
      <c r="J149" s="219"/>
      <c r="K149" s="202"/>
      <c r="L149" s="206"/>
      <c r="M149" s="206"/>
      <c r="N149" s="202"/>
      <c r="O149" s="202"/>
      <c r="P149" s="205"/>
      <c r="Q149" s="207"/>
      <c r="R149" s="202"/>
      <c r="S149" s="202"/>
      <c r="T149" s="202"/>
      <c r="U149" s="203"/>
      <c r="V149" s="202"/>
      <c r="W149" s="202"/>
      <c r="X149" s="202"/>
    </row>
    <row r="150" spans="3:24" x14ac:dyDescent="0.45">
      <c r="C150" s="204"/>
      <c r="D150" s="205"/>
      <c r="E150" s="202"/>
      <c r="F150" s="202"/>
      <c r="G150" s="206"/>
      <c r="H150" s="206"/>
      <c r="I150" s="202"/>
      <c r="J150" s="219"/>
      <c r="K150" s="202"/>
      <c r="L150" s="206"/>
      <c r="M150" s="206"/>
      <c r="N150" s="202"/>
      <c r="O150" s="202"/>
      <c r="P150" s="205"/>
      <c r="Q150" s="207"/>
      <c r="R150" s="202"/>
      <c r="S150" s="202"/>
      <c r="T150" s="202"/>
      <c r="U150" s="203"/>
      <c r="V150" s="202"/>
      <c r="W150" s="202"/>
      <c r="X150" s="202"/>
    </row>
    <row r="151" spans="3:24" x14ac:dyDescent="0.45">
      <c r="C151" s="204"/>
      <c r="D151" s="205"/>
      <c r="E151" s="202"/>
      <c r="F151" s="202"/>
      <c r="G151" s="206"/>
      <c r="H151" s="206"/>
      <c r="I151" s="202"/>
      <c r="J151" s="219"/>
      <c r="K151" s="202"/>
      <c r="L151" s="206"/>
      <c r="M151" s="206"/>
      <c r="N151" s="202"/>
      <c r="O151" s="202"/>
      <c r="P151" s="205"/>
      <c r="Q151" s="207"/>
      <c r="R151" s="202"/>
      <c r="S151" s="202"/>
      <c r="T151" s="202"/>
      <c r="U151" s="203"/>
      <c r="V151" s="202"/>
      <c r="W151" s="202"/>
      <c r="X151" s="202"/>
    </row>
    <row r="152" spans="3:24" x14ac:dyDescent="0.45">
      <c r="C152" s="204"/>
      <c r="D152" s="205"/>
      <c r="E152" s="202"/>
      <c r="F152" s="202"/>
      <c r="G152" s="206"/>
      <c r="H152" s="206"/>
      <c r="I152" s="202"/>
      <c r="J152" s="219"/>
      <c r="K152" s="202"/>
      <c r="L152" s="206"/>
      <c r="M152" s="206"/>
      <c r="N152" s="202"/>
      <c r="O152" s="202"/>
      <c r="P152" s="205"/>
      <c r="Q152" s="207"/>
      <c r="R152" s="202"/>
      <c r="S152" s="202"/>
      <c r="T152" s="202"/>
      <c r="U152" s="203"/>
      <c r="V152" s="202"/>
      <c r="W152" s="202"/>
      <c r="X152" s="202"/>
    </row>
    <row r="153" spans="3:24" x14ac:dyDescent="0.45">
      <c r="C153" s="204"/>
      <c r="D153" s="205"/>
      <c r="E153" s="202"/>
      <c r="F153" s="202"/>
      <c r="G153" s="206"/>
      <c r="H153" s="206"/>
      <c r="I153" s="202"/>
      <c r="J153" s="219"/>
      <c r="K153" s="202"/>
      <c r="L153" s="206"/>
      <c r="M153" s="206"/>
      <c r="N153" s="202"/>
      <c r="O153" s="202"/>
      <c r="P153" s="205"/>
      <c r="Q153" s="207"/>
      <c r="R153" s="202"/>
      <c r="S153" s="202"/>
      <c r="T153" s="202"/>
      <c r="U153" s="203"/>
      <c r="V153" s="202"/>
      <c r="W153" s="202"/>
      <c r="X153" s="202"/>
    </row>
    <row r="154" spans="3:24" x14ac:dyDescent="0.45">
      <c r="C154" s="204"/>
      <c r="D154" s="205"/>
      <c r="E154" s="202"/>
      <c r="F154" s="202"/>
      <c r="G154" s="206"/>
      <c r="H154" s="206"/>
      <c r="I154" s="202"/>
      <c r="J154" s="219"/>
      <c r="K154" s="202"/>
      <c r="L154" s="206"/>
      <c r="M154" s="206"/>
      <c r="N154" s="202"/>
      <c r="O154" s="202"/>
      <c r="P154" s="205"/>
      <c r="Q154" s="207"/>
      <c r="R154" s="202"/>
      <c r="S154" s="202"/>
      <c r="T154" s="202"/>
      <c r="U154" s="203"/>
      <c r="V154" s="202"/>
      <c r="W154" s="202"/>
      <c r="X154" s="202"/>
    </row>
    <row r="155" spans="3:24" x14ac:dyDescent="0.45">
      <c r="C155" s="204"/>
      <c r="D155" s="205"/>
      <c r="E155" s="202"/>
      <c r="F155" s="202"/>
      <c r="G155" s="206"/>
      <c r="H155" s="206"/>
      <c r="I155" s="202"/>
      <c r="J155" s="219"/>
      <c r="K155" s="202"/>
      <c r="L155" s="206"/>
      <c r="M155" s="206"/>
      <c r="N155" s="202"/>
      <c r="O155" s="202"/>
      <c r="P155" s="205"/>
      <c r="Q155" s="207"/>
      <c r="R155" s="202"/>
      <c r="S155" s="202"/>
      <c r="T155" s="202"/>
      <c r="U155" s="203"/>
      <c r="V155" s="202"/>
      <c r="W155" s="202"/>
      <c r="X155" s="202"/>
    </row>
    <row r="156" spans="3:24" x14ac:dyDescent="0.45">
      <c r="C156" s="204"/>
      <c r="D156" s="205"/>
      <c r="E156" s="202"/>
      <c r="F156" s="202"/>
      <c r="G156" s="206"/>
      <c r="H156" s="206"/>
      <c r="I156" s="202"/>
      <c r="J156" s="219"/>
      <c r="K156" s="202"/>
      <c r="L156" s="206"/>
      <c r="M156" s="206"/>
      <c r="N156" s="202"/>
      <c r="O156" s="202"/>
      <c r="P156" s="205"/>
      <c r="Q156" s="207"/>
      <c r="R156" s="202"/>
      <c r="S156" s="202"/>
      <c r="T156" s="202"/>
      <c r="U156" s="203"/>
      <c r="V156" s="202"/>
      <c r="W156" s="202"/>
      <c r="X156" s="202"/>
    </row>
    <row r="157" spans="3:24" x14ac:dyDescent="0.45">
      <c r="C157" s="204"/>
      <c r="D157" s="205"/>
      <c r="E157" s="202"/>
      <c r="F157" s="202"/>
      <c r="G157" s="206"/>
      <c r="H157" s="206"/>
      <c r="I157" s="202"/>
      <c r="J157" s="219"/>
      <c r="K157" s="202"/>
      <c r="L157" s="206"/>
      <c r="M157" s="206"/>
      <c r="N157" s="202"/>
      <c r="O157" s="202"/>
      <c r="P157" s="205"/>
      <c r="Q157" s="207"/>
      <c r="R157" s="202"/>
      <c r="S157" s="202"/>
      <c r="T157" s="202"/>
      <c r="U157" s="203"/>
      <c r="V157" s="202"/>
      <c r="W157" s="202"/>
      <c r="X157" s="202"/>
    </row>
    <row r="158" spans="3:24" x14ac:dyDescent="0.45">
      <c r="C158" s="204"/>
      <c r="D158" s="205"/>
      <c r="E158" s="202"/>
      <c r="F158" s="202"/>
      <c r="G158" s="206"/>
      <c r="H158" s="206"/>
      <c r="I158" s="202"/>
      <c r="J158" s="219"/>
      <c r="K158" s="202"/>
      <c r="L158" s="206"/>
      <c r="M158" s="206"/>
      <c r="N158" s="202"/>
      <c r="O158" s="202"/>
      <c r="P158" s="205"/>
      <c r="Q158" s="207"/>
      <c r="R158" s="202"/>
      <c r="S158" s="202"/>
      <c r="T158" s="202"/>
      <c r="U158" s="203"/>
      <c r="V158" s="202"/>
      <c r="W158" s="202"/>
      <c r="X158" s="202"/>
    </row>
    <row r="159" spans="3:24" x14ac:dyDescent="0.45">
      <c r="C159" s="204"/>
      <c r="D159" s="205"/>
      <c r="E159" s="202"/>
      <c r="F159" s="202"/>
      <c r="G159" s="206"/>
      <c r="H159" s="206"/>
      <c r="I159" s="202"/>
      <c r="J159" s="219"/>
      <c r="K159" s="202"/>
      <c r="L159" s="206"/>
      <c r="M159" s="206"/>
      <c r="N159" s="202"/>
      <c r="O159" s="202"/>
      <c r="P159" s="205"/>
      <c r="Q159" s="207"/>
      <c r="R159" s="202"/>
      <c r="S159" s="202"/>
      <c r="T159" s="202"/>
      <c r="U159" s="203"/>
      <c r="V159" s="202"/>
      <c r="W159" s="202"/>
      <c r="X159" s="202"/>
    </row>
    <row r="160" spans="3:24" x14ac:dyDescent="0.45">
      <c r="C160" s="204"/>
      <c r="D160" s="205"/>
      <c r="E160" s="202"/>
      <c r="F160" s="202"/>
      <c r="G160" s="206"/>
      <c r="H160" s="206"/>
      <c r="I160" s="202"/>
      <c r="J160" s="219"/>
      <c r="K160" s="202"/>
      <c r="L160" s="206"/>
      <c r="M160" s="206"/>
      <c r="N160" s="202"/>
      <c r="O160" s="202"/>
      <c r="P160" s="205"/>
      <c r="Q160" s="207"/>
      <c r="R160" s="202"/>
      <c r="S160" s="202"/>
      <c r="T160" s="202"/>
      <c r="U160" s="203"/>
      <c r="V160" s="202"/>
      <c r="W160" s="202"/>
      <c r="X160" s="202"/>
    </row>
    <row r="161" spans="3:24" x14ac:dyDescent="0.45">
      <c r="C161" s="204"/>
      <c r="D161" s="205"/>
      <c r="E161" s="202"/>
      <c r="F161" s="202"/>
      <c r="G161" s="206"/>
      <c r="H161" s="206"/>
      <c r="I161" s="202"/>
      <c r="J161" s="219"/>
      <c r="K161" s="202"/>
      <c r="L161" s="206"/>
      <c r="M161" s="206"/>
      <c r="N161" s="202"/>
      <c r="O161" s="202"/>
      <c r="P161" s="205"/>
      <c r="Q161" s="207"/>
      <c r="R161" s="202"/>
      <c r="S161" s="202"/>
      <c r="T161" s="202"/>
      <c r="U161" s="203"/>
      <c r="V161" s="202"/>
      <c r="W161" s="202"/>
      <c r="X161" s="202"/>
    </row>
    <row r="162" spans="3:24" x14ac:dyDescent="0.45">
      <c r="C162" s="204"/>
      <c r="D162" s="205"/>
      <c r="E162" s="202"/>
      <c r="F162" s="202"/>
      <c r="G162" s="206"/>
      <c r="H162" s="206"/>
      <c r="I162" s="202"/>
      <c r="J162" s="219"/>
      <c r="K162" s="202"/>
      <c r="L162" s="206"/>
      <c r="M162" s="206"/>
      <c r="N162" s="202"/>
      <c r="O162" s="202"/>
      <c r="P162" s="205"/>
      <c r="Q162" s="207"/>
      <c r="R162" s="202"/>
      <c r="S162" s="202"/>
      <c r="T162" s="202"/>
      <c r="U162" s="203"/>
      <c r="V162" s="202"/>
      <c r="W162" s="202"/>
      <c r="X162" s="202"/>
    </row>
    <row r="163" spans="3:24" x14ac:dyDescent="0.45">
      <c r="C163" s="204"/>
      <c r="D163" s="205"/>
      <c r="E163" s="202"/>
      <c r="F163" s="202"/>
      <c r="G163" s="206"/>
      <c r="H163" s="206"/>
      <c r="I163" s="202"/>
      <c r="J163" s="219"/>
      <c r="K163" s="202"/>
      <c r="L163" s="206"/>
      <c r="M163" s="206"/>
      <c r="N163" s="202"/>
      <c r="O163" s="202"/>
      <c r="P163" s="205"/>
      <c r="Q163" s="207"/>
      <c r="R163" s="202"/>
      <c r="S163" s="202"/>
      <c r="T163" s="202"/>
      <c r="U163" s="203"/>
      <c r="V163" s="202"/>
      <c r="W163" s="202"/>
      <c r="X163" s="202"/>
    </row>
    <row r="164" spans="3:24" x14ac:dyDescent="0.45">
      <c r="C164" s="204"/>
      <c r="D164" s="205"/>
      <c r="E164" s="202"/>
      <c r="F164" s="202"/>
      <c r="G164" s="206"/>
      <c r="H164" s="206"/>
      <c r="I164" s="202"/>
      <c r="J164" s="219"/>
      <c r="K164" s="202"/>
      <c r="L164" s="206"/>
      <c r="M164" s="206"/>
      <c r="N164" s="202"/>
      <c r="O164" s="202"/>
      <c r="P164" s="205"/>
      <c r="Q164" s="207"/>
      <c r="R164" s="202"/>
      <c r="S164" s="202"/>
      <c r="T164" s="202"/>
      <c r="U164" s="203"/>
      <c r="V164" s="202"/>
      <c r="W164" s="202"/>
      <c r="X164" s="202"/>
    </row>
    <row r="165" spans="3:24" x14ac:dyDescent="0.45">
      <c r="C165" s="204"/>
      <c r="D165" s="205"/>
      <c r="E165" s="202"/>
      <c r="F165" s="202"/>
      <c r="G165" s="206"/>
      <c r="H165" s="206"/>
      <c r="I165" s="202"/>
      <c r="J165" s="219"/>
      <c r="K165" s="202"/>
      <c r="L165" s="206"/>
      <c r="M165" s="206"/>
      <c r="N165" s="202"/>
      <c r="O165" s="202"/>
      <c r="P165" s="205"/>
      <c r="Q165" s="207"/>
      <c r="R165" s="202"/>
      <c r="S165" s="202"/>
      <c r="T165" s="202"/>
      <c r="U165" s="203"/>
      <c r="V165" s="202"/>
      <c r="W165" s="202"/>
      <c r="X165" s="202"/>
    </row>
    <row r="166" spans="3:24" x14ac:dyDescent="0.45">
      <c r="C166" s="204"/>
      <c r="D166" s="205"/>
      <c r="E166" s="202"/>
      <c r="F166" s="202"/>
      <c r="G166" s="206"/>
      <c r="H166" s="206"/>
      <c r="I166" s="202"/>
      <c r="J166" s="219"/>
      <c r="K166" s="202"/>
      <c r="L166" s="206"/>
      <c r="M166" s="206"/>
      <c r="N166" s="202"/>
      <c r="O166" s="202"/>
      <c r="P166" s="205"/>
      <c r="Q166" s="207"/>
      <c r="R166" s="202"/>
      <c r="S166" s="202"/>
      <c r="T166" s="202"/>
      <c r="U166" s="203"/>
      <c r="V166" s="202"/>
      <c r="W166" s="202"/>
      <c r="X166" s="202"/>
    </row>
    <row r="167" spans="3:24" x14ac:dyDescent="0.45">
      <c r="C167" s="204"/>
      <c r="D167" s="205"/>
      <c r="E167" s="202"/>
      <c r="F167" s="202"/>
      <c r="G167" s="206"/>
      <c r="H167" s="206"/>
      <c r="I167" s="202"/>
      <c r="J167" s="219"/>
      <c r="K167" s="202"/>
      <c r="L167" s="206"/>
      <c r="M167" s="206"/>
      <c r="N167" s="202"/>
      <c r="O167" s="202"/>
      <c r="P167" s="205"/>
      <c r="Q167" s="207"/>
      <c r="R167" s="202"/>
      <c r="S167" s="202"/>
      <c r="T167" s="202"/>
      <c r="U167" s="203"/>
      <c r="V167" s="202"/>
      <c r="W167" s="202"/>
      <c r="X167" s="202"/>
    </row>
    <row r="168" spans="3:24" x14ac:dyDescent="0.45">
      <c r="C168" s="204"/>
      <c r="D168" s="205"/>
      <c r="E168" s="202"/>
      <c r="F168" s="202"/>
      <c r="G168" s="206"/>
      <c r="H168" s="206"/>
      <c r="I168" s="202"/>
      <c r="J168" s="219"/>
      <c r="K168" s="202"/>
      <c r="L168" s="206"/>
      <c r="M168" s="206"/>
      <c r="N168" s="202"/>
      <c r="O168" s="202"/>
      <c r="P168" s="205"/>
      <c r="Q168" s="207"/>
      <c r="R168" s="202"/>
      <c r="S168" s="202"/>
      <c r="T168" s="202"/>
      <c r="U168" s="203"/>
      <c r="V168" s="202"/>
      <c r="W168" s="202"/>
      <c r="X168" s="202"/>
    </row>
    <row r="169" spans="3:24" x14ac:dyDescent="0.45">
      <c r="C169" s="204"/>
      <c r="D169" s="205"/>
      <c r="E169" s="202"/>
      <c r="F169" s="202"/>
      <c r="G169" s="206"/>
      <c r="H169" s="206"/>
      <c r="I169" s="202"/>
      <c r="J169" s="219"/>
      <c r="K169" s="202"/>
      <c r="L169" s="206"/>
      <c r="M169" s="206"/>
      <c r="N169" s="202"/>
      <c r="O169" s="202"/>
      <c r="P169" s="205"/>
      <c r="Q169" s="207"/>
      <c r="R169" s="202"/>
      <c r="S169" s="202"/>
      <c r="T169" s="202"/>
      <c r="U169" s="203"/>
      <c r="V169" s="202"/>
      <c r="W169" s="202"/>
      <c r="X169" s="202"/>
    </row>
    <row r="170" spans="3:24" x14ac:dyDescent="0.45">
      <c r="C170" s="204"/>
      <c r="D170" s="205"/>
      <c r="E170" s="202"/>
      <c r="F170" s="202"/>
      <c r="G170" s="206"/>
      <c r="H170" s="206"/>
      <c r="I170" s="202"/>
      <c r="J170" s="219"/>
      <c r="K170" s="202"/>
      <c r="L170" s="206"/>
      <c r="M170" s="206"/>
      <c r="N170" s="202"/>
      <c r="O170" s="202"/>
      <c r="P170" s="205"/>
      <c r="Q170" s="207"/>
      <c r="R170" s="202"/>
      <c r="S170" s="202"/>
      <c r="T170" s="202"/>
      <c r="U170" s="203"/>
      <c r="V170" s="202"/>
      <c r="W170" s="202"/>
      <c r="X170" s="202"/>
    </row>
    <row r="171" spans="3:24" x14ac:dyDescent="0.45">
      <c r="C171" s="204"/>
      <c r="D171" s="205"/>
      <c r="E171" s="202"/>
      <c r="F171" s="202"/>
      <c r="G171" s="206"/>
      <c r="H171" s="206"/>
      <c r="I171" s="202"/>
      <c r="J171" s="219"/>
      <c r="K171" s="202"/>
      <c r="L171" s="206"/>
      <c r="M171" s="206"/>
      <c r="N171" s="202"/>
      <c r="O171" s="202"/>
      <c r="P171" s="205"/>
      <c r="Q171" s="207"/>
      <c r="R171" s="202"/>
      <c r="S171" s="202"/>
      <c r="T171" s="202"/>
      <c r="U171" s="203"/>
      <c r="V171" s="202"/>
      <c r="W171" s="202"/>
      <c r="X171" s="202"/>
    </row>
    <row r="172" spans="3:24" x14ac:dyDescent="0.45">
      <c r="C172" s="204"/>
      <c r="D172" s="205"/>
      <c r="E172" s="202"/>
      <c r="F172" s="202"/>
      <c r="G172" s="206"/>
      <c r="H172" s="206"/>
      <c r="I172" s="202"/>
      <c r="J172" s="219"/>
      <c r="K172" s="202"/>
      <c r="L172" s="206"/>
      <c r="M172" s="206"/>
      <c r="N172" s="202"/>
      <c r="O172" s="202"/>
      <c r="P172" s="205"/>
      <c r="Q172" s="207"/>
      <c r="R172" s="202"/>
      <c r="S172" s="202"/>
      <c r="T172" s="202"/>
      <c r="U172" s="203"/>
      <c r="V172" s="202"/>
      <c r="W172" s="202"/>
      <c r="X172" s="202"/>
    </row>
    <row r="173" spans="3:24" x14ac:dyDescent="0.45">
      <c r="C173" s="204"/>
      <c r="D173" s="205"/>
      <c r="E173" s="202"/>
      <c r="F173" s="202"/>
      <c r="G173" s="206"/>
      <c r="H173" s="206"/>
      <c r="I173" s="202"/>
      <c r="J173" s="219"/>
      <c r="K173" s="202"/>
      <c r="L173" s="206"/>
      <c r="M173" s="206"/>
      <c r="N173" s="202"/>
      <c r="O173" s="202"/>
      <c r="P173" s="205"/>
      <c r="Q173" s="207"/>
      <c r="R173" s="202"/>
      <c r="S173" s="202"/>
      <c r="T173" s="202"/>
      <c r="U173" s="203"/>
      <c r="V173" s="202"/>
      <c r="W173" s="202"/>
      <c r="X173" s="202"/>
    </row>
    <row r="174" spans="3:24" x14ac:dyDescent="0.45">
      <c r="C174" s="204"/>
      <c r="D174" s="205"/>
      <c r="E174" s="202"/>
      <c r="F174" s="202"/>
      <c r="G174" s="206"/>
      <c r="H174" s="206"/>
      <c r="I174" s="202"/>
      <c r="J174" s="219"/>
      <c r="K174" s="202"/>
      <c r="L174" s="206"/>
      <c r="M174" s="206"/>
      <c r="N174" s="202"/>
      <c r="O174" s="202"/>
      <c r="P174" s="205"/>
      <c r="Q174" s="207"/>
      <c r="R174" s="202"/>
      <c r="S174" s="202"/>
      <c r="T174" s="202"/>
      <c r="U174" s="203"/>
      <c r="V174" s="202"/>
      <c r="W174" s="202"/>
      <c r="X174" s="202"/>
    </row>
    <row r="175" spans="3:24" x14ac:dyDescent="0.45">
      <c r="C175" s="204"/>
      <c r="D175" s="205"/>
      <c r="E175" s="202"/>
      <c r="F175" s="202"/>
      <c r="G175" s="206"/>
      <c r="H175" s="206"/>
      <c r="I175" s="202"/>
      <c r="J175" s="219"/>
      <c r="K175" s="202"/>
      <c r="L175" s="206"/>
      <c r="M175" s="206"/>
      <c r="N175" s="202"/>
      <c r="O175" s="202"/>
      <c r="P175" s="205"/>
      <c r="Q175" s="207"/>
      <c r="R175" s="202"/>
      <c r="S175" s="202"/>
      <c r="T175" s="202"/>
      <c r="U175" s="203"/>
      <c r="V175" s="202"/>
      <c r="W175" s="202"/>
      <c r="X175" s="202"/>
    </row>
    <row r="176" spans="3:24" x14ac:dyDescent="0.45">
      <c r="C176" s="204"/>
      <c r="D176" s="205"/>
      <c r="E176" s="202"/>
      <c r="F176" s="202"/>
      <c r="G176" s="206"/>
      <c r="H176" s="206"/>
      <c r="I176" s="202"/>
      <c r="J176" s="219"/>
      <c r="K176" s="202"/>
      <c r="L176" s="206"/>
      <c r="M176" s="206"/>
      <c r="N176" s="202"/>
      <c r="O176" s="202"/>
      <c r="P176" s="205"/>
      <c r="Q176" s="207"/>
      <c r="R176" s="202"/>
      <c r="S176" s="202"/>
      <c r="T176" s="202"/>
      <c r="U176" s="203"/>
      <c r="V176" s="202"/>
      <c r="W176" s="202"/>
      <c r="X176" s="202"/>
    </row>
    <row r="177" spans="3:24" x14ac:dyDescent="0.45">
      <c r="C177" s="204"/>
      <c r="D177" s="205"/>
      <c r="E177" s="202"/>
      <c r="F177" s="202"/>
      <c r="G177" s="206"/>
      <c r="H177" s="206"/>
      <c r="I177" s="202"/>
      <c r="J177" s="219"/>
      <c r="K177" s="202"/>
      <c r="L177" s="206"/>
      <c r="M177" s="206"/>
      <c r="N177" s="202"/>
      <c r="O177" s="202"/>
      <c r="P177" s="205"/>
      <c r="Q177" s="207"/>
      <c r="R177" s="202"/>
      <c r="S177" s="202"/>
      <c r="T177" s="202"/>
      <c r="U177" s="203"/>
      <c r="V177" s="202"/>
      <c r="W177" s="202"/>
      <c r="X177" s="202"/>
    </row>
    <row r="178" spans="3:24" x14ac:dyDescent="0.45">
      <c r="C178" s="204"/>
      <c r="D178" s="205"/>
      <c r="E178" s="202"/>
      <c r="F178" s="202"/>
      <c r="G178" s="206"/>
      <c r="H178" s="206"/>
      <c r="I178" s="202"/>
      <c r="J178" s="219"/>
      <c r="K178" s="202"/>
      <c r="L178" s="206"/>
      <c r="M178" s="206"/>
      <c r="N178" s="202"/>
      <c r="O178" s="202"/>
      <c r="P178" s="205"/>
      <c r="Q178" s="207"/>
      <c r="R178" s="202"/>
      <c r="S178" s="202"/>
      <c r="T178" s="202"/>
      <c r="U178" s="203"/>
      <c r="V178" s="202"/>
      <c r="W178" s="202"/>
      <c r="X178" s="202"/>
    </row>
    <row r="179" spans="3:24" x14ac:dyDescent="0.45">
      <c r="C179" s="204"/>
      <c r="D179" s="205"/>
      <c r="E179" s="202"/>
      <c r="F179" s="202"/>
      <c r="G179" s="206"/>
      <c r="H179" s="206"/>
      <c r="I179" s="202"/>
      <c r="J179" s="219"/>
      <c r="K179" s="202"/>
      <c r="L179" s="206"/>
      <c r="M179" s="206"/>
      <c r="N179" s="202"/>
      <c r="O179" s="202"/>
      <c r="P179" s="205"/>
      <c r="Q179" s="207"/>
      <c r="R179" s="202"/>
      <c r="S179" s="202"/>
      <c r="T179" s="202"/>
      <c r="U179" s="203"/>
      <c r="V179" s="202"/>
      <c r="W179" s="202"/>
      <c r="X179" s="202"/>
    </row>
    <row r="180" spans="3:24" x14ac:dyDescent="0.45">
      <c r="C180" s="204"/>
      <c r="D180" s="205"/>
      <c r="E180" s="202"/>
      <c r="F180" s="202"/>
      <c r="G180" s="206"/>
      <c r="H180" s="206"/>
      <c r="I180" s="202"/>
      <c r="J180" s="219"/>
      <c r="K180" s="202"/>
      <c r="L180" s="206"/>
      <c r="M180" s="206"/>
      <c r="N180" s="202"/>
      <c r="O180" s="202"/>
      <c r="P180" s="205"/>
      <c r="Q180" s="207"/>
      <c r="R180" s="202"/>
      <c r="S180" s="202"/>
      <c r="T180" s="202"/>
      <c r="U180" s="203"/>
      <c r="V180" s="202"/>
      <c r="W180" s="202"/>
      <c r="X180" s="202"/>
    </row>
    <row r="181" spans="3:24" x14ac:dyDescent="0.45">
      <c r="C181" s="204"/>
      <c r="D181" s="205"/>
      <c r="E181" s="202"/>
      <c r="F181" s="202"/>
      <c r="G181" s="206"/>
      <c r="H181" s="206"/>
      <c r="I181" s="202"/>
      <c r="J181" s="219"/>
      <c r="K181" s="202"/>
      <c r="L181" s="206"/>
      <c r="M181" s="206"/>
      <c r="N181" s="202"/>
      <c r="O181" s="202"/>
      <c r="P181" s="205"/>
      <c r="Q181" s="207"/>
      <c r="R181" s="202"/>
      <c r="S181" s="202"/>
      <c r="T181" s="202"/>
      <c r="U181" s="203"/>
      <c r="V181" s="202"/>
      <c r="W181" s="202"/>
      <c r="X181" s="202"/>
    </row>
    <row r="182" spans="3:24" x14ac:dyDescent="0.45">
      <c r="C182" s="204"/>
      <c r="D182" s="205"/>
      <c r="E182" s="202"/>
      <c r="F182" s="202"/>
      <c r="G182" s="206"/>
      <c r="H182" s="206"/>
      <c r="I182" s="202"/>
      <c r="J182" s="219"/>
      <c r="K182" s="202"/>
      <c r="L182" s="206"/>
      <c r="M182" s="206"/>
      <c r="N182" s="202"/>
      <c r="O182" s="202"/>
      <c r="P182" s="205"/>
      <c r="Q182" s="207"/>
      <c r="R182" s="202"/>
      <c r="S182" s="202"/>
      <c r="T182" s="202"/>
      <c r="U182" s="203"/>
      <c r="V182" s="202"/>
      <c r="W182" s="202"/>
      <c r="X182" s="202"/>
    </row>
    <row r="183" spans="3:24" x14ac:dyDescent="0.45">
      <c r="C183" s="204"/>
      <c r="D183" s="205"/>
      <c r="E183" s="202"/>
      <c r="F183" s="202"/>
      <c r="G183" s="206"/>
      <c r="H183" s="206"/>
      <c r="I183" s="202"/>
      <c r="J183" s="219"/>
      <c r="K183" s="202"/>
      <c r="L183" s="206"/>
      <c r="M183" s="206"/>
      <c r="N183" s="202"/>
      <c r="O183" s="202"/>
      <c r="P183" s="205"/>
      <c r="Q183" s="207"/>
      <c r="R183" s="202"/>
      <c r="S183" s="202"/>
      <c r="T183" s="202"/>
      <c r="U183" s="203"/>
      <c r="V183" s="202"/>
      <c r="W183" s="202"/>
      <c r="X183" s="202"/>
    </row>
    <row r="184" spans="3:24" x14ac:dyDescent="0.45">
      <c r="C184" s="204"/>
      <c r="D184" s="205"/>
      <c r="E184" s="202"/>
      <c r="F184" s="202"/>
      <c r="G184" s="206"/>
      <c r="H184" s="206"/>
      <c r="I184" s="202"/>
      <c r="J184" s="219"/>
      <c r="K184" s="202"/>
      <c r="L184" s="206"/>
      <c r="M184" s="206"/>
      <c r="N184" s="202"/>
      <c r="O184" s="202"/>
      <c r="P184" s="205"/>
      <c r="Q184" s="207"/>
      <c r="R184" s="202"/>
      <c r="S184" s="202"/>
      <c r="T184" s="202"/>
      <c r="U184" s="203"/>
      <c r="V184" s="202"/>
      <c r="W184" s="202"/>
      <c r="X184" s="202"/>
    </row>
    <row r="185" spans="3:24" x14ac:dyDescent="0.45">
      <c r="C185" s="204"/>
      <c r="D185" s="205"/>
      <c r="E185" s="202"/>
      <c r="F185" s="202"/>
      <c r="G185" s="206"/>
      <c r="H185" s="206"/>
      <c r="I185" s="202"/>
      <c r="J185" s="219"/>
      <c r="K185" s="202"/>
      <c r="L185" s="206"/>
      <c r="M185" s="206"/>
      <c r="N185" s="202"/>
      <c r="O185" s="202"/>
      <c r="P185" s="205"/>
      <c r="Q185" s="207"/>
      <c r="R185" s="202"/>
      <c r="S185" s="202"/>
      <c r="T185" s="202"/>
      <c r="U185" s="203"/>
      <c r="V185" s="202"/>
      <c r="W185" s="202"/>
      <c r="X185" s="202"/>
    </row>
    <row r="186" spans="3:24" x14ac:dyDescent="0.45">
      <c r="C186" s="204"/>
      <c r="D186" s="205"/>
      <c r="E186" s="202"/>
      <c r="F186" s="202"/>
      <c r="G186" s="206"/>
      <c r="H186" s="206"/>
      <c r="I186" s="202"/>
      <c r="J186" s="219"/>
      <c r="K186" s="202"/>
      <c r="L186" s="206"/>
      <c r="M186" s="206"/>
      <c r="N186" s="202"/>
      <c r="O186" s="202"/>
      <c r="P186" s="205"/>
      <c r="Q186" s="207"/>
      <c r="R186" s="202"/>
      <c r="S186" s="202"/>
      <c r="T186" s="202"/>
      <c r="U186" s="203"/>
      <c r="V186" s="202"/>
      <c r="W186" s="202"/>
      <c r="X186" s="202"/>
    </row>
    <row r="187" spans="3:24" x14ac:dyDescent="0.45">
      <c r="C187" s="204"/>
      <c r="D187" s="205"/>
      <c r="E187" s="202"/>
      <c r="F187" s="202"/>
      <c r="G187" s="206"/>
      <c r="H187" s="206"/>
      <c r="I187" s="202"/>
      <c r="J187" s="219"/>
      <c r="K187" s="202"/>
      <c r="L187" s="206"/>
      <c r="M187" s="206"/>
      <c r="N187" s="202"/>
      <c r="O187" s="202"/>
      <c r="P187" s="205"/>
      <c r="Q187" s="207"/>
      <c r="R187" s="202"/>
      <c r="S187" s="202"/>
      <c r="T187" s="202"/>
      <c r="U187" s="203"/>
      <c r="V187" s="202"/>
      <c r="W187" s="202"/>
      <c r="X187" s="202"/>
    </row>
    <row r="188" spans="3:24" x14ac:dyDescent="0.45">
      <c r="C188" s="204"/>
      <c r="D188" s="205"/>
      <c r="E188" s="202"/>
      <c r="F188" s="202"/>
      <c r="G188" s="206"/>
      <c r="H188" s="206"/>
      <c r="I188" s="202"/>
      <c r="J188" s="219"/>
      <c r="K188" s="202"/>
      <c r="L188" s="206"/>
      <c r="M188" s="206"/>
      <c r="N188" s="202"/>
      <c r="O188" s="202"/>
      <c r="P188" s="205"/>
      <c r="Q188" s="207"/>
      <c r="R188" s="202"/>
      <c r="S188" s="202"/>
      <c r="T188" s="202"/>
      <c r="U188" s="203"/>
      <c r="V188" s="202"/>
      <c r="W188" s="202"/>
      <c r="X188" s="202"/>
    </row>
    <row r="189" spans="3:24" x14ac:dyDescent="0.45">
      <c r="C189" s="204"/>
      <c r="D189" s="205"/>
      <c r="E189" s="202"/>
      <c r="F189" s="202"/>
      <c r="G189" s="206"/>
      <c r="H189" s="206"/>
      <c r="I189" s="202"/>
      <c r="J189" s="219"/>
      <c r="K189" s="202"/>
      <c r="L189" s="206"/>
      <c r="M189" s="206"/>
      <c r="N189" s="202"/>
      <c r="O189" s="202"/>
      <c r="P189" s="205"/>
      <c r="Q189" s="207"/>
      <c r="R189" s="202"/>
      <c r="S189" s="202"/>
      <c r="T189" s="202"/>
      <c r="U189" s="203"/>
      <c r="V189" s="202"/>
      <c r="W189" s="202"/>
      <c r="X189" s="202"/>
    </row>
    <row r="190" spans="3:24" x14ac:dyDescent="0.45">
      <c r="C190" s="204"/>
      <c r="D190" s="205"/>
      <c r="E190" s="202"/>
      <c r="F190" s="202"/>
      <c r="G190" s="206"/>
      <c r="H190" s="206"/>
      <c r="I190" s="202"/>
      <c r="J190" s="219"/>
      <c r="K190" s="202"/>
      <c r="L190" s="206"/>
      <c r="M190" s="206"/>
      <c r="N190" s="202"/>
      <c r="O190" s="202"/>
      <c r="P190" s="205"/>
      <c r="Q190" s="207"/>
      <c r="R190" s="202"/>
      <c r="S190" s="202"/>
      <c r="T190" s="202"/>
      <c r="U190" s="203"/>
      <c r="V190" s="202"/>
      <c r="W190" s="202"/>
      <c r="X190" s="202"/>
    </row>
    <row r="191" spans="3:24" x14ac:dyDescent="0.45">
      <c r="C191" s="204"/>
      <c r="D191" s="205"/>
      <c r="E191" s="202"/>
      <c r="F191" s="202"/>
      <c r="G191" s="206"/>
      <c r="H191" s="206"/>
      <c r="I191" s="202"/>
      <c r="J191" s="219"/>
      <c r="K191" s="202"/>
      <c r="L191" s="206"/>
      <c r="M191" s="206"/>
      <c r="N191" s="202"/>
      <c r="O191" s="202"/>
      <c r="P191" s="205"/>
      <c r="Q191" s="207"/>
      <c r="R191" s="202"/>
      <c r="S191" s="202"/>
      <c r="T191" s="202"/>
      <c r="U191" s="203"/>
      <c r="V191" s="202"/>
      <c r="W191" s="202"/>
      <c r="X191" s="202"/>
    </row>
    <row r="192" spans="3:24" x14ac:dyDescent="0.45">
      <c r="C192" s="204"/>
      <c r="D192" s="205"/>
      <c r="E192" s="202"/>
      <c r="F192" s="202"/>
      <c r="G192" s="206"/>
      <c r="H192" s="206"/>
      <c r="I192" s="202"/>
      <c r="J192" s="219"/>
      <c r="K192" s="202"/>
      <c r="L192" s="206"/>
      <c r="M192" s="206"/>
      <c r="N192" s="202"/>
      <c r="O192" s="202"/>
      <c r="P192" s="205"/>
      <c r="Q192" s="207"/>
      <c r="R192" s="202"/>
      <c r="S192" s="202"/>
      <c r="T192" s="202"/>
      <c r="U192" s="203"/>
      <c r="V192" s="202"/>
      <c r="W192" s="202"/>
      <c r="X192" s="202"/>
    </row>
    <row r="193" spans="3:24" x14ac:dyDescent="0.45">
      <c r="C193" s="204"/>
      <c r="D193" s="205"/>
      <c r="E193" s="202"/>
      <c r="F193" s="202"/>
      <c r="G193" s="206"/>
      <c r="H193" s="206"/>
      <c r="I193" s="202"/>
      <c r="J193" s="219"/>
      <c r="K193" s="202"/>
      <c r="L193" s="206"/>
      <c r="M193" s="206"/>
      <c r="N193" s="202"/>
      <c r="O193" s="202"/>
      <c r="P193" s="205"/>
      <c r="Q193" s="207"/>
      <c r="R193" s="202"/>
      <c r="S193" s="202"/>
      <c r="T193" s="202"/>
      <c r="U193" s="203"/>
      <c r="V193" s="202"/>
      <c r="W193" s="202"/>
      <c r="X193" s="202"/>
    </row>
    <row r="194" spans="3:24" x14ac:dyDescent="0.45">
      <c r="C194" s="204"/>
      <c r="D194" s="205"/>
      <c r="E194" s="202"/>
      <c r="F194" s="202"/>
      <c r="G194" s="206"/>
      <c r="H194" s="206"/>
      <c r="I194" s="202"/>
      <c r="J194" s="219"/>
      <c r="K194" s="202"/>
      <c r="L194" s="206"/>
      <c r="M194" s="206"/>
      <c r="N194" s="202"/>
      <c r="O194" s="202"/>
      <c r="P194" s="205"/>
      <c r="Q194" s="207"/>
      <c r="R194" s="202"/>
      <c r="S194" s="202"/>
      <c r="T194" s="202"/>
      <c r="U194" s="203"/>
      <c r="V194" s="202"/>
      <c r="W194" s="202"/>
      <c r="X194" s="202"/>
    </row>
    <row r="195" spans="3:24" x14ac:dyDescent="0.45">
      <c r="C195" s="204"/>
      <c r="D195" s="205"/>
      <c r="E195" s="202"/>
      <c r="F195" s="202"/>
      <c r="G195" s="206"/>
      <c r="H195" s="206"/>
      <c r="I195" s="202"/>
      <c r="J195" s="219"/>
      <c r="K195" s="202"/>
      <c r="L195" s="206"/>
      <c r="M195" s="206"/>
      <c r="N195" s="202"/>
      <c r="O195" s="202"/>
      <c r="P195" s="205"/>
      <c r="Q195" s="207"/>
      <c r="R195" s="202"/>
      <c r="S195" s="202"/>
      <c r="T195" s="202"/>
      <c r="U195" s="203"/>
      <c r="V195" s="202"/>
      <c r="W195" s="202"/>
      <c r="X195" s="202"/>
    </row>
    <row r="196" spans="3:24" x14ac:dyDescent="0.45">
      <c r="C196" s="204"/>
      <c r="D196" s="205"/>
      <c r="E196" s="202"/>
      <c r="F196" s="202"/>
      <c r="G196" s="206"/>
      <c r="H196" s="206"/>
      <c r="I196" s="202"/>
      <c r="J196" s="219"/>
      <c r="K196" s="202"/>
      <c r="L196" s="206"/>
      <c r="M196" s="206"/>
      <c r="N196" s="202"/>
      <c r="O196" s="202"/>
      <c r="P196" s="205"/>
      <c r="Q196" s="207"/>
      <c r="R196" s="202"/>
      <c r="S196" s="202"/>
      <c r="T196" s="202"/>
      <c r="U196" s="203"/>
      <c r="V196" s="202"/>
      <c r="W196" s="202"/>
      <c r="X196" s="202"/>
    </row>
    <row r="197" spans="3:24" x14ac:dyDescent="0.45">
      <c r="C197" s="204"/>
      <c r="D197" s="205"/>
      <c r="E197" s="202"/>
      <c r="F197" s="202"/>
      <c r="G197" s="206"/>
      <c r="H197" s="206"/>
      <c r="I197" s="202"/>
      <c r="J197" s="219"/>
      <c r="K197" s="202"/>
      <c r="L197" s="206"/>
      <c r="M197" s="206"/>
      <c r="N197" s="202"/>
      <c r="O197" s="202"/>
      <c r="P197" s="205"/>
      <c r="Q197" s="207"/>
      <c r="R197" s="202"/>
      <c r="S197" s="202"/>
      <c r="T197" s="202"/>
      <c r="U197" s="203"/>
      <c r="V197" s="202"/>
      <c r="W197" s="202"/>
      <c r="X197" s="202"/>
    </row>
    <row r="198" spans="3:24" x14ac:dyDescent="0.45">
      <c r="C198" s="204"/>
      <c r="D198" s="205"/>
      <c r="E198" s="202"/>
      <c r="F198" s="202"/>
      <c r="G198" s="206"/>
      <c r="H198" s="206"/>
      <c r="I198" s="202"/>
      <c r="J198" s="219"/>
      <c r="K198" s="202"/>
      <c r="L198" s="206"/>
      <c r="M198" s="206"/>
      <c r="N198" s="202"/>
      <c r="O198" s="202"/>
      <c r="P198" s="205"/>
      <c r="Q198" s="207"/>
      <c r="R198" s="202"/>
      <c r="S198" s="202"/>
      <c r="T198" s="202"/>
      <c r="U198" s="203"/>
      <c r="V198" s="202"/>
      <c r="W198" s="202"/>
      <c r="X198" s="202"/>
    </row>
    <row r="199" spans="3:24" x14ac:dyDescent="0.45">
      <c r="C199" s="204"/>
      <c r="D199" s="205"/>
      <c r="E199" s="202"/>
      <c r="F199" s="202"/>
      <c r="G199" s="206"/>
      <c r="H199" s="206"/>
      <c r="I199" s="202"/>
      <c r="J199" s="219"/>
      <c r="K199" s="202"/>
      <c r="L199" s="206"/>
      <c r="M199" s="206"/>
      <c r="N199" s="202"/>
      <c r="O199" s="202"/>
      <c r="P199" s="205"/>
      <c r="Q199" s="207"/>
      <c r="R199" s="202"/>
      <c r="S199" s="202"/>
      <c r="T199" s="202"/>
      <c r="U199" s="203"/>
      <c r="V199" s="202"/>
      <c r="W199" s="202"/>
      <c r="X199" s="202"/>
    </row>
    <row r="200" spans="3:24" x14ac:dyDescent="0.45">
      <c r="C200" s="204"/>
      <c r="D200" s="205"/>
      <c r="E200" s="202"/>
      <c r="F200" s="202"/>
      <c r="G200" s="206"/>
      <c r="H200" s="206"/>
      <c r="I200" s="202"/>
      <c r="J200" s="219"/>
      <c r="K200" s="202"/>
      <c r="L200" s="206"/>
      <c r="M200" s="206"/>
      <c r="N200" s="202"/>
      <c r="O200" s="202"/>
      <c r="P200" s="205"/>
      <c r="Q200" s="207"/>
      <c r="R200" s="202"/>
      <c r="S200" s="202"/>
      <c r="T200" s="202"/>
      <c r="U200" s="203"/>
      <c r="V200" s="202"/>
      <c r="W200" s="202"/>
      <c r="X200" s="202"/>
    </row>
    <row r="201" spans="3:24" x14ac:dyDescent="0.45">
      <c r="C201" s="204"/>
      <c r="D201" s="205"/>
      <c r="E201" s="202"/>
      <c r="F201" s="202"/>
      <c r="G201" s="206"/>
      <c r="H201" s="206"/>
      <c r="I201" s="202"/>
      <c r="J201" s="219"/>
      <c r="K201" s="202"/>
      <c r="L201" s="206"/>
      <c r="M201" s="206"/>
      <c r="N201" s="202"/>
      <c r="O201" s="202"/>
      <c r="P201" s="205"/>
      <c r="Q201" s="207"/>
      <c r="R201" s="202"/>
      <c r="S201" s="202"/>
      <c r="T201" s="202"/>
      <c r="U201" s="203"/>
      <c r="V201" s="202"/>
      <c r="W201" s="202"/>
      <c r="X201" s="202"/>
    </row>
    <row r="202" spans="3:24" x14ac:dyDescent="0.45">
      <c r="C202" s="204"/>
      <c r="D202" s="205"/>
      <c r="E202" s="202"/>
      <c r="F202" s="202"/>
      <c r="G202" s="206"/>
      <c r="H202" s="206"/>
      <c r="I202" s="202"/>
      <c r="J202" s="219"/>
      <c r="K202" s="202"/>
      <c r="L202" s="206"/>
      <c r="M202" s="206"/>
      <c r="N202" s="202"/>
      <c r="O202" s="202"/>
      <c r="P202" s="205"/>
      <c r="Q202" s="207"/>
      <c r="R202" s="202"/>
      <c r="S202" s="202"/>
      <c r="T202" s="202"/>
      <c r="U202" s="203"/>
      <c r="V202" s="202"/>
      <c r="W202" s="202"/>
      <c r="X202" s="202"/>
    </row>
    <row r="203" spans="3:24" x14ac:dyDescent="0.45">
      <c r="C203" s="204"/>
      <c r="D203" s="205"/>
      <c r="E203" s="202"/>
      <c r="F203" s="202"/>
      <c r="G203" s="206"/>
      <c r="H203" s="206"/>
      <c r="I203" s="202"/>
      <c r="J203" s="219"/>
      <c r="K203" s="202"/>
      <c r="L203" s="206"/>
      <c r="M203" s="206"/>
      <c r="N203" s="202"/>
      <c r="O203" s="202"/>
      <c r="P203" s="205"/>
      <c r="Q203" s="207"/>
      <c r="R203" s="202"/>
      <c r="S203" s="202"/>
      <c r="T203" s="202"/>
      <c r="U203" s="203"/>
      <c r="V203" s="202"/>
      <c r="W203" s="202"/>
      <c r="X203" s="202"/>
    </row>
    <row r="204" spans="3:24" x14ac:dyDescent="0.45">
      <c r="C204" s="204"/>
      <c r="D204" s="205"/>
      <c r="E204" s="202"/>
      <c r="F204" s="202"/>
      <c r="G204" s="206"/>
      <c r="H204" s="206"/>
      <c r="I204" s="202"/>
      <c r="J204" s="219"/>
      <c r="K204" s="202"/>
      <c r="L204" s="206"/>
      <c r="M204" s="206"/>
      <c r="N204" s="202"/>
      <c r="O204" s="202"/>
      <c r="P204" s="205"/>
      <c r="Q204" s="207"/>
      <c r="R204" s="202"/>
      <c r="S204" s="202"/>
      <c r="T204" s="202"/>
      <c r="U204" s="203"/>
      <c r="V204" s="202"/>
      <c r="W204" s="202"/>
      <c r="X204" s="202"/>
    </row>
    <row r="205" spans="3:24" x14ac:dyDescent="0.45">
      <c r="C205" s="204"/>
      <c r="D205" s="205"/>
      <c r="E205" s="202"/>
      <c r="F205" s="202"/>
      <c r="G205" s="206"/>
      <c r="H205" s="206"/>
      <c r="I205" s="202"/>
      <c r="J205" s="219"/>
      <c r="K205" s="202"/>
      <c r="L205" s="206"/>
      <c r="M205" s="206"/>
      <c r="N205" s="202"/>
      <c r="O205" s="202"/>
      <c r="P205" s="205"/>
      <c r="Q205" s="207"/>
      <c r="R205" s="202"/>
      <c r="S205" s="202"/>
      <c r="T205" s="202"/>
      <c r="U205" s="203"/>
      <c r="V205" s="202"/>
      <c r="W205" s="202"/>
      <c r="X205" s="202"/>
    </row>
    <row r="206" spans="3:24" x14ac:dyDescent="0.45">
      <c r="C206" s="204"/>
      <c r="D206" s="205"/>
      <c r="E206" s="202"/>
      <c r="F206" s="202"/>
      <c r="G206" s="206"/>
      <c r="H206" s="206"/>
      <c r="I206" s="202"/>
      <c r="J206" s="219"/>
      <c r="K206" s="202"/>
      <c r="L206" s="206"/>
      <c r="M206" s="206"/>
      <c r="N206" s="202"/>
      <c r="O206" s="202"/>
      <c r="P206" s="205"/>
      <c r="Q206" s="207"/>
      <c r="R206" s="202"/>
      <c r="S206" s="202"/>
      <c r="T206" s="202"/>
      <c r="U206" s="203"/>
      <c r="V206" s="202"/>
      <c r="W206" s="202"/>
      <c r="X206" s="202"/>
    </row>
    <row r="207" spans="3:24" x14ac:dyDescent="0.45">
      <c r="C207" s="204"/>
      <c r="D207" s="205"/>
      <c r="E207" s="202"/>
      <c r="F207" s="202"/>
      <c r="G207" s="206"/>
      <c r="H207" s="206"/>
      <c r="I207" s="202"/>
      <c r="J207" s="219"/>
      <c r="K207" s="202"/>
      <c r="L207" s="206"/>
      <c r="M207" s="206"/>
      <c r="N207" s="202"/>
      <c r="O207" s="202"/>
      <c r="P207" s="205"/>
      <c r="Q207" s="207"/>
      <c r="R207" s="202"/>
      <c r="S207" s="202"/>
      <c r="T207" s="202"/>
      <c r="U207" s="203"/>
      <c r="V207" s="202"/>
      <c r="W207" s="202"/>
      <c r="X207" s="202"/>
    </row>
    <row r="208" spans="3:24" x14ac:dyDescent="0.45">
      <c r="C208" s="204"/>
      <c r="D208" s="205"/>
      <c r="E208" s="202"/>
      <c r="F208" s="202"/>
      <c r="G208" s="206"/>
      <c r="H208" s="206"/>
      <c r="I208" s="202"/>
      <c r="J208" s="219"/>
      <c r="K208" s="202"/>
      <c r="L208" s="206"/>
      <c r="M208" s="206"/>
      <c r="N208" s="202"/>
      <c r="O208" s="202"/>
      <c r="P208" s="205"/>
      <c r="Q208" s="207"/>
      <c r="R208" s="202"/>
      <c r="S208" s="202"/>
      <c r="T208" s="202"/>
      <c r="U208" s="203"/>
      <c r="V208" s="202"/>
      <c r="W208" s="202"/>
      <c r="X208" s="202"/>
    </row>
    <row r="209" spans="3:24" x14ac:dyDescent="0.45">
      <c r="C209" s="204"/>
      <c r="D209" s="205"/>
      <c r="E209" s="202"/>
      <c r="F209" s="202"/>
      <c r="G209" s="206"/>
      <c r="H209" s="206"/>
      <c r="I209" s="202"/>
      <c r="J209" s="219"/>
      <c r="K209" s="202"/>
      <c r="L209" s="206"/>
      <c r="M209" s="206"/>
      <c r="N209" s="202"/>
      <c r="O209" s="202"/>
      <c r="P209" s="205"/>
      <c r="Q209" s="207"/>
      <c r="R209" s="202"/>
      <c r="S209" s="202"/>
      <c r="T209" s="202"/>
      <c r="U209" s="203"/>
      <c r="V209" s="202"/>
      <c r="W209" s="202"/>
      <c r="X209" s="202"/>
    </row>
    <row r="210" spans="3:24" x14ac:dyDescent="0.45">
      <c r="C210" s="204"/>
      <c r="D210" s="205"/>
      <c r="E210" s="202"/>
      <c r="F210" s="202"/>
      <c r="G210" s="206"/>
      <c r="H210" s="206"/>
      <c r="I210" s="202"/>
      <c r="J210" s="219"/>
      <c r="K210" s="202"/>
      <c r="L210" s="206"/>
      <c r="M210" s="206"/>
      <c r="N210" s="202"/>
      <c r="O210" s="202"/>
      <c r="P210" s="205"/>
      <c r="Q210" s="207"/>
      <c r="R210" s="202"/>
      <c r="S210" s="202"/>
      <c r="T210" s="202"/>
      <c r="U210" s="203"/>
      <c r="V210" s="202"/>
      <c r="W210" s="202"/>
      <c r="X210" s="202"/>
    </row>
    <row r="211" spans="3:24" x14ac:dyDescent="0.45">
      <c r="C211" s="204"/>
      <c r="D211" s="205"/>
      <c r="E211" s="202"/>
      <c r="F211" s="202"/>
      <c r="G211" s="206"/>
      <c r="H211" s="206"/>
      <c r="I211" s="202"/>
      <c r="J211" s="219"/>
      <c r="K211" s="202"/>
      <c r="L211" s="206"/>
      <c r="M211" s="206"/>
      <c r="N211" s="202"/>
      <c r="O211" s="202"/>
      <c r="P211" s="205"/>
      <c r="Q211" s="207"/>
      <c r="R211" s="202"/>
      <c r="S211" s="202"/>
      <c r="T211" s="202"/>
      <c r="U211" s="203"/>
      <c r="V211" s="202"/>
      <c r="W211" s="202"/>
      <c r="X211" s="202"/>
    </row>
    <row r="212" spans="3:24" x14ac:dyDescent="0.45">
      <c r="C212" s="204"/>
      <c r="D212" s="205"/>
      <c r="E212" s="202"/>
      <c r="F212" s="202"/>
      <c r="G212" s="206"/>
      <c r="H212" s="206"/>
      <c r="I212" s="202"/>
      <c r="J212" s="219"/>
      <c r="K212" s="202"/>
      <c r="L212" s="206"/>
      <c r="M212" s="206"/>
      <c r="N212" s="202"/>
      <c r="O212" s="202"/>
      <c r="P212" s="205"/>
      <c r="Q212" s="207"/>
      <c r="R212" s="202"/>
      <c r="S212" s="202"/>
      <c r="T212" s="202"/>
      <c r="U212" s="203"/>
      <c r="V212" s="202"/>
      <c r="W212" s="202"/>
      <c r="X212" s="202"/>
    </row>
    <row r="213" spans="3:24" x14ac:dyDescent="0.45">
      <c r="C213" s="204"/>
      <c r="D213" s="205"/>
      <c r="E213" s="202"/>
      <c r="F213" s="202"/>
      <c r="G213" s="206"/>
      <c r="H213" s="206"/>
      <c r="I213" s="202"/>
      <c r="J213" s="219"/>
      <c r="K213" s="202"/>
      <c r="L213" s="206"/>
      <c r="M213" s="206"/>
      <c r="N213" s="202"/>
      <c r="O213" s="202"/>
      <c r="P213" s="205"/>
      <c r="Q213" s="207"/>
      <c r="R213" s="202"/>
      <c r="S213" s="202"/>
      <c r="T213" s="202"/>
      <c r="U213" s="203"/>
      <c r="V213" s="202"/>
      <c r="W213" s="202"/>
      <c r="X213" s="202"/>
    </row>
    <row r="214" spans="3:24" x14ac:dyDescent="0.45">
      <c r="C214" s="204"/>
      <c r="D214" s="205"/>
      <c r="E214" s="202"/>
      <c r="F214" s="202"/>
      <c r="G214" s="206"/>
      <c r="H214" s="206"/>
      <c r="I214" s="202"/>
      <c r="J214" s="219"/>
      <c r="K214" s="202"/>
      <c r="L214" s="206"/>
      <c r="M214" s="206"/>
      <c r="N214" s="202"/>
      <c r="O214" s="202"/>
      <c r="P214" s="205"/>
      <c r="Q214" s="207"/>
      <c r="R214" s="202"/>
      <c r="S214" s="202"/>
      <c r="T214" s="202"/>
      <c r="U214" s="203"/>
      <c r="V214" s="202"/>
      <c r="W214" s="202"/>
      <c r="X214" s="202"/>
    </row>
    <row r="215" spans="3:24" x14ac:dyDescent="0.45">
      <c r="C215" s="204"/>
      <c r="D215" s="205"/>
      <c r="E215" s="202"/>
      <c r="F215" s="202"/>
      <c r="G215" s="206"/>
      <c r="H215" s="206"/>
      <c r="I215" s="202"/>
      <c r="J215" s="219"/>
      <c r="K215" s="202"/>
      <c r="L215" s="206"/>
      <c r="M215" s="206"/>
      <c r="N215" s="202"/>
      <c r="O215" s="202"/>
      <c r="P215" s="205"/>
      <c r="Q215" s="207"/>
      <c r="R215" s="202"/>
      <c r="S215" s="202"/>
      <c r="T215" s="202"/>
      <c r="U215" s="203"/>
      <c r="V215" s="202"/>
      <c r="W215" s="202"/>
      <c r="X215" s="202"/>
    </row>
    <row r="216" spans="3:24" x14ac:dyDescent="0.45">
      <c r="C216" s="204"/>
      <c r="D216" s="205"/>
      <c r="E216" s="202"/>
      <c r="F216" s="202"/>
      <c r="G216" s="206"/>
      <c r="H216" s="206"/>
      <c r="I216" s="202"/>
      <c r="J216" s="219"/>
      <c r="K216" s="202"/>
      <c r="L216" s="206"/>
      <c r="M216" s="206"/>
      <c r="N216" s="202"/>
      <c r="O216" s="202"/>
      <c r="P216" s="205"/>
      <c r="Q216" s="207"/>
      <c r="R216" s="202"/>
      <c r="S216" s="202"/>
      <c r="T216" s="202"/>
      <c r="U216" s="203"/>
      <c r="V216" s="202"/>
      <c r="W216" s="202"/>
      <c r="X216" s="202"/>
    </row>
    <row r="217" spans="3:24" x14ac:dyDescent="0.45">
      <c r="C217" s="204"/>
      <c r="D217" s="205"/>
      <c r="E217" s="202"/>
      <c r="F217" s="202"/>
      <c r="G217" s="206"/>
      <c r="H217" s="206"/>
      <c r="I217" s="202"/>
      <c r="J217" s="219"/>
      <c r="K217" s="202"/>
      <c r="L217" s="206"/>
      <c r="M217" s="206"/>
      <c r="N217" s="202"/>
      <c r="O217" s="202"/>
      <c r="P217" s="205"/>
      <c r="Q217" s="207"/>
      <c r="R217" s="202"/>
      <c r="S217" s="202"/>
      <c r="T217" s="202"/>
      <c r="U217" s="203"/>
      <c r="V217" s="202"/>
      <c r="W217" s="202"/>
      <c r="X217" s="202"/>
    </row>
    <row r="218" spans="3:24" x14ac:dyDescent="0.45">
      <c r="C218" s="204"/>
      <c r="D218" s="205"/>
      <c r="E218" s="202"/>
      <c r="F218" s="202"/>
      <c r="G218" s="206"/>
      <c r="H218" s="206"/>
      <c r="I218" s="202"/>
      <c r="J218" s="219"/>
      <c r="K218" s="202"/>
      <c r="L218" s="206"/>
      <c r="M218" s="206"/>
      <c r="N218" s="202"/>
      <c r="O218" s="202"/>
      <c r="P218" s="205"/>
      <c r="Q218" s="207"/>
      <c r="R218" s="202"/>
      <c r="S218" s="202"/>
      <c r="T218" s="202"/>
      <c r="U218" s="203"/>
      <c r="V218" s="202"/>
      <c r="W218" s="202"/>
      <c r="X218" s="202"/>
    </row>
    <row r="219" spans="3:24" x14ac:dyDescent="0.45">
      <c r="C219" s="204"/>
      <c r="D219" s="205"/>
      <c r="E219" s="202"/>
      <c r="F219" s="202"/>
      <c r="G219" s="206"/>
      <c r="H219" s="206"/>
      <c r="I219" s="202"/>
      <c r="J219" s="219"/>
      <c r="K219" s="202"/>
      <c r="L219" s="206"/>
      <c r="M219" s="206"/>
      <c r="N219" s="202"/>
      <c r="O219" s="202"/>
      <c r="P219" s="205"/>
      <c r="Q219" s="207"/>
      <c r="R219" s="202"/>
      <c r="S219" s="202"/>
      <c r="T219" s="202"/>
      <c r="U219" s="203"/>
      <c r="V219" s="202"/>
      <c r="W219" s="202"/>
      <c r="X219" s="202"/>
    </row>
    <row r="220" spans="3:24" x14ac:dyDescent="0.45">
      <c r="C220" s="204"/>
      <c r="D220" s="205"/>
      <c r="E220" s="202"/>
      <c r="F220" s="202"/>
      <c r="G220" s="206"/>
      <c r="H220" s="206"/>
      <c r="I220" s="202"/>
      <c r="J220" s="219"/>
      <c r="K220" s="202"/>
      <c r="L220" s="206"/>
      <c r="M220" s="206"/>
      <c r="N220" s="202"/>
      <c r="O220" s="202"/>
      <c r="P220" s="205"/>
      <c r="Q220" s="207"/>
      <c r="R220" s="202"/>
      <c r="S220" s="202"/>
      <c r="T220" s="202"/>
      <c r="U220" s="203"/>
      <c r="V220" s="202"/>
      <c r="W220" s="202"/>
      <c r="X220" s="202"/>
    </row>
    <row r="221" spans="3:24" x14ac:dyDescent="0.45">
      <c r="C221" s="204"/>
      <c r="D221" s="205"/>
      <c r="E221" s="202"/>
      <c r="F221" s="202"/>
      <c r="G221" s="206"/>
      <c r="H221" s="206"/>
      <c r="I221" s="202"/>
      <c r="J221" s="219"/>
      <c r="K221" s="202"/>
      <c r="L221" s="206"/>
      <c r="M221" s="206"/>
      <c r="N221" s="202"/>
      <c r="O221" s="202"/>
      <c r="P221" s="205"/>
      <c r="Q221" s="207"/>
      <c r="R221" s="202"/>
      <c r="S221" s="202"/>
      <c r="T221" s="202"/>
      <c r="U221" s="203"/>
      <c r="V221" s="202"/>
      <c r="W221" s="202"/>
      <c r="X221" s="202"/>
    </row>
    <row r="222" spans="3:24" x14ac:dyDescent="0.45">
      <c r="C222" s="204"/>
      <c r="D222" s="205"/>
      <c r="E222" s="202"/>
      <c r="F222" s="202"/>
      <c r="G222" s="206"/>
      <c r="H222" s="206"/>
      <c r="I222" s="202"/>
      <c r="J222" s="219"/>
      <c r="K222" s="202"/>
      <c r="L222" s="206"/>
      <c r="M222" s="206"/>
      <c r="N222" s="202"/>
      <c r="O222" s="202"/>
      <c r="P222" s="205"/>
      <c r="Q222" s="207"/>
      <c r="R222" s="202"/>
      <c r="S222" s="202"/>
      <c r="T222" s="202"/>
      <c r="U222" s="203"/>
      <c r="V222" s="202"/>
      <c r="W222" s="202"/>
      <c r="X222" s="202"/>
    </row>
    <row r="223" spans="3:24" x14ac:dyDescent="0.45">
      <c r="C223" s="204"/>
      <c r="D223" s="205"/>
      <c r="E223" s="202"/>
      <c r="F223" s="202"/>
      <c r="G223" s="206"/>
      <c r="H223" s="206"/>
      <c r="I223" s="202"/>
      <c r="J223" s="219"/>
      <c r="K223" s="202"/>
      <c r="L223" s="206"/>
      <c r="M223" s="206"/>
      <c r="N223" s="202"/>
      <c r="O223" s="202"/>
      <c r="P223" s="205"/>
      <c r="Q223" s="207"/>
      <c r="R223" s="202"/>
      <c r="S223" s="202"/>
      <c r="T223" s="202"/>
      <c r="U223" s="203"/>
      <c r="V223" s="202"/>
      <c r="W223" s="202"/>
      <c r="X223" s="202"/>
    </row>
    <row r="224" spans="3:24" x14ac:dyDescent="0.45">
      <c r="C224" s="204"/>
      <c r="D224" s="205"/>
      <c r="E224" s="202"/>
      <c r="F224" s="202"/>
      <c r="G224" s="206"/>
      <c r="H224" s="206"/>
      <c r="I224" s="202"/>
      <c r="J224" s="219"/>
      <c r="K224" s="202"/>
      <c r="L224" s="206"/>
      <c r="M224" s="206"/>
      <c r="N224" s="202"/>
      <c r="O224" s="202"/>
      <c r="P224" s="205"/>
      <c r="Q224" s="207"/>
      <c r="R224" s="202"/>
      <c r="S224" s="202"/>
      <c r="T224" s="202"/>
      <c r="U224" s="203"/>
      <c r="V224" s="202"/>
      <c r="W224" s="202"/>
      <c r="X224" s="202"/>
    </row>
    <row r="225" spans="3:24" x14ac:dyDescent="0.45">
      <c r="C225" s="204"/>
      <c r="D225" s="205"/>
      <c r="E225" s="202"/>
      <c r="F225" s="202"/>
      <c r="G225" s="206"/>
      <c r="H225" s="206"/>
      <c r="I225" s="202"/>
      <c r="J225" s="219"/>
      <c r="K225" s="202"/>
      <c r="L225" s="206"/>
      <c r="M225" s="206"/>
      <c r="N225" s="202"/>
      <c r="O225" s="202"/>
      <c r="P225" s="205"/>
      <c r="Q225" s="207"/>
      <c r="R225" s="202"/>
      <c r="S225" s="202"/>
      <c r="T225" s="202"/>
      <c r="U225" s="203"/>
      <c r="V225" s="202"/>
      <c r="W225" s="202"/>
      <c r="X225" s="202"/>
    </row>
    <row r="226" spans="3:24" x14ac:dyDescent="0.45">
      <c r="C226" s="204"/>
      <c r="D226" s="205"/>
      <c r="E226" s="202"/>
      <c r="F226" s="202"/>
      <c r="G226" s="206"/>
      <c r="H226" s="206"/>
      <c r="I226" s="202"/>
      <c r="J226" s="219"/>
      <c r="K226" s="202"/>
      <c r="L226" s="206"/>
      <c r="M226" s="206"/>
      <c r="N226" s="202"/>
      <c r="O226" s="202"/>
      <c r="P226" s="205"/>
      <c r="Q226" s="207"/>
      <c r="R226" s="202"/>
      <c r="S226" s="202"/>
      <c r="T226" s="202"/>
      <c r="U226" s="203"/>
      <c r="V226" s="202"/>
      <c r="W226" s="202"/>
      <c r="X226" s="202"/>
    </row>
    <row r="227" spans="3:24" x14ac:dyDescent="0.45">
      <c r="C227" s="204"/>
      <c r="D227" s="205"/>
      <c r="E227" s="202"/>
      <c r="F227" s="202"/>
      <c r="G227" s="206"/>
      <c r="H227" s="206"/>
      <c r="I227" s="202"/>
      <c r="J227" s="219"/>
      <c r="K227" s="202"/>
      <c r="L227" s="206"/>
      <c r="M227" s="206"/>
      <c r="N227" s="202"/>
      <c r="O227" s="202"/>
      <c r="P227" s="205"/>
      <c r="Q227" s="207"/>
      <c r="R227" s="202"/>
      <c r="S227" s="202"/>
      <c r="T227" s="202"/>
      <c r="U227" s="203"/>
      <c r="V227" s="202"/>
      <c r="W227" s="202"/>
      <c r="X227" s="202"/>
    </row>
    <row r="228" spans="3:24" x14ac:dyDescent="0.45">
      <c r="C228" s="204"/>
      <c r="D228" s="205"/>
      <c r="E228" s="202"/>
      <c r="F228" s="202"/>
      <c r="G228" s="206"/>
      <c r="H228" s="206"/>
      <c r="I228" s="202"/>
      <c r="J228" s="219"/>
      <c r="K228" s="202"/>
      <c r="L228" s="206"/>
      <c r="M228" s="206"/>
      <c r="N228" s="202"/>
      <c r="O228" s="202"/>
      <c r="P228" s="205"/>
      <c r="Q228" s="207"/>
      <c r="R228" s="202"/>
      <c r="S228" s="202"/>
      <c r="T228" s="202"/>
      <c r="U228" s="203"/>
      <c r="V228" s="202"/>
      <c r="W228" s="202"/>
      <c r="X228" s="202"/>
    </row>
    <row r="229" spans="3:24" x14ac:dyDescent="0.45">
      <c r="C229" s="204"/>
      <c r="D229" s="205"/>
      <c r="E229" s="202"/>
      <c r="F229" s="202"/>
      <c r="G229" s="206"/>
      <c r="H229" s="206"/>
      <c r="I229" s="202"/>
      <c r="J229" s="219"/>
      <c r="K229" s="202"/>
      <c r="L229" s="206"/>
      <c r="M229" s="206"/>
      <c r="N229" s="202"/>
      <c r="O229" s="202"/>
      <c r="P229" s="205"/>
      <c r="Q229" s="207"/>
      <c r="R229" s="202"/>
      <c r="S229" s="202"/>
      <c r="T229" s="202"/>
      <c r="U229" s="203"/>
      <c r="V229" s="202"/>
      <c r="W229" s="202"/>
      <c r="X229" s="202"/>
    </row>
    <row r="230" spans="3:24" x14ac:dyDescent="0.45">
      <c r="C230" s="204"/>
      <c r="D230" s="205"/>
      <c r="E230" s="202"/>
      <c r="F230" s="202"/>
      <c r="G230" s="206"/>
      <c r="H230" s="206"/>
      <c r="I230" s="202"/>
      <c r="J230" s="219"/>
      <c r="K230" s="202"/>
      <c r="L230" s="206"/>
      <c r="M230" s="206"/>
      <c r="N230" s="202"/>
      <c r="O230" s="202"/>
      <c r="P230" s="205"/>
      <c r="Q230" s="207"/>
      <c r="R230" s="202"/>
      <c r="S230" s="202"/>
      <c r="T230" s="202"/>
      <c r="U230" s="203"/>
      <c r="V230" s="202"/>
      <c r="W230" s="202"/>
      <c r="X230" s="202"/>
    </row>
    <row r="231" spans="3:24" x14ac:dyDescent="0.45">
      <c r="C231" s="204"/>
      <c r="D231" s="205"/>
      <c r="E231" s="202"/>
      <c r="F231" s="202"/>
      <c r="G231" s="206"/>
      <c r="H231" s="206"/>
      <c r="I231" s="202"/>
      <c r="J231" s="219"/>
      <c r="K231" s="202"/>
      <c r="L231" s="206"/>
      <c r="M231" s="206"/>
      <c r="N231" s="202"/>
      <c r="O231" s="202"/>
      <c r="P231" s="205"/>
      <c r="Q231" s="207"/>
      <c r="R231" s="202"/>
      <c r="S231" s="202"/>
      <c r="T231" s="202"/>
      <c r="U231" s="203"/>
      <c r="V231" s="202"/>
      <c r="W231" s="202"/>
      <c r="X231" s="202"/>
    </row>
    <row r="232" spans="3:24" x14ac:dyDescent="0.45">
      <c r="C232" s="204"/>
      <c r="D232" s="205"/>
      <c r="E232" s="202"/>
      <c r="F232" s="202"/>
      <c r="G232" s="206"/>
      <c r="H232" s="206"/>
      <c r="I232" s="202"/>
      <c r="J232" s="219"/>
      <c r="K232" s="202"/>
      <c r="L232" s="206"/>
      <c r="M232" s="206"/>
      <c r="N232" s="202"/>
      <c r="O232" s="202"/>
      <c r="P232" s="205"/>
      <c r="Q232" s="207"/>
      <c r="R232" s="202"/>
      <c r="S232" s="202"/>
      <c r="T232" s="202"/>
      <c r="U232" s="203"/>
      <c r="V232" s="202"/>
      <c r="W232" s="202"/>
      <c r="X232" s="202"/>
    </row>
    <row r="233" spans="3:24" x14ac:dyDescent="0.45">
      <c r="C233" s="204"/>
      <c r="D233" s="205"/>
      <c r="E233" s="202"/>
      <c r="F233" s="202"/>
      <c r="G233" s="206"/>
      <c r="H233" s="206"/>
      <c r="I233" s="202"/>
      <c r="J233" s="219"/>
      <c r="K233" s="202"/>
      <c r="L233" s="206"/>
      <c r="M233" s="206"/>
      <c r="N233" s="202"/>
      <c r="O233" s="202"/>
      <c r="P233" s="205"/>
      <c r="Q233" s="207"/>
      <c r="R233" s="202"/>
      <c r="S233" s="202"/>
      <c r="T233" s="202"/>
      <c r="U233" s="203"/>
      <c r="V233" s="202"/>
      <c r="W233" s="202"/>
      <c r="X233" s="202"/>
    </row>
    <row r="234" spans="3:24" x14ac:dyDescent="0.45">
      <c r="C234" s="204"/>
      <c r="D234" s="205"/>
      <c r="E234" s="202"/>
      <c r="F234" s="202"/>
      <c r="G234" s="206"/>
      <c r="H234" s="206"/>
      <c r="I234" s="202"/>
      <c r="J234" s="219"/>
      <c r="K234" s="202"/>
      <c r="L234" s="206"/>
      <c r="M234" s="206"/>
      <c r="N234" s="202"/>
      <c r="O234" s="202"/>
      <c r="P234" s="205"/>
      <c r="Q234" s="207"/>
      <c r="R234" s="202"/>
      <c r="S234" s="202"/>
      <c r="T234" s="202"/>
      <c r="U234" s="203"/>
      <c r="V234" s="202"/>
      <c r="W234" s="202"/>
      <c r="X234" s="202"/>
    </row>
    <row r="235" spans="3:24" x14ac:dyDescent="0.45">
      <c r="C235" s="204"/>
      <c r="D235" s="205"/>
      <c r="E235" s="202"/>
      <c r="F235" s="202"/>
      <c r="G235" s="206"/>
      <c r="H235" s="206"/>
      <c r="I235" s="202"/>
      <c r="J235" s="219"/>
      <c r="K235" s="202"/>
      <c r="L235" s="206"/>
      <c r="M235" s="206"/>
      <c r="N235" s="202"/>
      <c r="O235" s="202"/>
      <c r="P235" s="205"/>
      <c r="Q235" s="207"/>
      <c r="R235" s="202"/>
      <c r="S235" s="202"/>
      <c r="T235" s="202"/>
      <c r="U235" s="203"/>
      <c r="V235" s="202"/>
      <c r="W235" s="202"/>
      <c r="X235" s="202"/>
    </row>
    <row r="236" spans="3:24" x14ac:dyDescent="0.45">
      <c r="C236" s="204"/>
      <c r="D236" s="205"/>
      <c r="E236" s="202"/>
      <c r="F236" s="202"/>
      <c r="G236" s="206"/>
      <c r="H236" s="206"/>
      <c r="I236" s="202"/>
      <c r="J236" s="219"/>
      <c r="K236" s="202"/>
      <c r="L236" s="206"/>
      <c r="M236" s="206"/>
      <c r="N236" s="202"/>
      <c r="O236" s="202"/>
      <c r="P236" s="205"/>
      <c r="Q236" s="207"/>
      <c r="R236" s="202"/>
      <c r="S236" s="202"/>
      <c r="T236" s="202"/>
      <c r="U236" s="203"/>
      <c r="V236" s="202"/>
      <c r="W236" s="202"/>
      <c r="X236" s="202"/>
    </row>
    <row r="237" spans="3:24" x14ac:dyDescent="0.45">
      <c r="C237" s="204"/>
      <c r="D237" s="205"/>
      <c r="E237" s="202"/>
      <c r="F237" s="202"/>
      <c r="G237" s="206"/>
      <c r="H237" s="206"/>
      <c r="I237" s="202"/>
      <c r="J237" s="219"/>
      <c r="K237" s="202"/>
      <c r="L237" s="206"/>
      <c r="M237" s="206"/>
      <c r="N237" s="202"/>
      <c r="O237" s="202"/>
      <c r="P237" s="205"/>
      <c r="Q237" s="207"/>
      <c r="R237" s="202"/>
      <c r="S237" s="202"/>
      <c r="T237" s="202"/>
      <c r="U237" s="203"/>
      <c r="V237" s="202"/>
      <c r="W237" s="202"/>
      <c r="X237" s="202"/>
    </row>
    <row r="238" spans="3:24" x14ac:dyDescent="0.45">
      <c r="C238" s="204"/>
      <c r="D238" s="205"/>
      <c r="E238" s="202"/>
      <c r="F238" s="202"/>
      <c r="G238" s="206"/>
      <c r="H238" s="206"/>
      <c r="I238" s="202"/>
      <c r="J238" s="219"/>
      <c r="K238" s="202"/>
      <c r="L238" s="206"/>
      <c r="M238" s="206"/>
      <c r="N238" s="202"/>
      <c r="O238" s="202"/>
      <c r="P238" s="205"/>
      <c r="Q238" s="207"/>
      <c r="R238" s="202"/>
      <c r="S238" s="202"/>
      <c r="T238" s="202"/>
      <c r="U238" s="203"/>
      <c r="V238" s="202"/>
      <c r="W238" s="202"/>
      <c r="X238" s="202"/>
    </row>
    <row r="239" spans="3:24" x14ac:dyDescent="0.45">
      <c r="C239" s="204"/>
      <c r="D239" s="205"/>
      <c r="E239" s="202"/>
      <c r="F239" s="202"/>
      <c r="G239" s="206"/>
      <c r="H239" s="206"/>
      <c r="I239" s="202"/>
      <c r="J239" s="219"/>
      <c r="K239" s="202"/>
      <c r="L239" s="206"/>
      <c r="M239" s="206"/>
      <c r="N239" s="202"/>
      <c r="O239" s="202"/>
      <c r="P239" s="205"/>
      <c r="Q239" s="207"/>
      <c r="R239" s="202"/>
      <c r="S239" s="202"/>
      <c r="T239" s="202"/>
      <c r="U239" s="203"/>
      <c r="V239" s="202"/>
      <c r="W239" s="202"/>
      <c r="X239" s="202"/>
    </row>
    <row r="240" spans="3:24" x14ac:dyDescent="0.45">
      <c r="C240" s="204"/>
      <c r="D240" s="205"/>
      <c r="E240" s="202"/>
      <c r="F240" s="202"/>
      <c r="G240" s="206"/>
      <c r="H240" s="206"/>
      <c r="I240" s="202"/>
      <c r="J240" s="219"/>
      <c r="K240" s="202"/>
      <c r="L240" s="206"/>
      <c r="M240" s="206"/>
      <c r="N240" s="202"/>
      <c r="O240" s="202"/>
      <c r="P240" s="205"/>
      <c r="Q240" s="207"/>
      <c r="R240" s="202"/>
      <c r="S240" s="202"/>
      <c r="T240" s="202"/>
      <c r="U240" s="203"/>
      <c r="V240" s="202"/>
      <c r="W240" s="202"/>
      <c r="X240" s="202"/>
    </row>
    <row r="241" spans="3:24" x14ac:dyDescent="0.45">
      <c r="C241" s="204"/>
      <c r="D241" s="205"/>
      <c r="E241" s="202"/>
      <c r="F241" s="202"/>
      <c r="G241" s="206"/>
      <c r="H241" s="206"/>
      <c r="I241" s="202"/>
      <c r="J241" s="219"/>
      <c r="K241" s="202"/>
      <c r="L241" s="206"/>
      <c r="M241" s="206"/>
      <c r="N241" s="202"/>
      <c r="O241" s="202"/>
      <c r="P241" s="205"/>
      <c r="Q241" s="207"/>
      <c r="R241" s="202"/>
      <c r="S241" s="202"/>
      <c r="T241" s="202"/>
      <c r="U241" s="203"/>
      <c r="V241" s="202"/>
      <c r="W241" s="202"/>
      <c r="X241" s="202"/>
    </row>
    <row r="242" spans="3:24" x14ac:dyDescent="0.45">
      <c r="C242" s="204"/>
      <c r="D242" s="205"/>
      <c r="E242" s="202"/>
      <c r="F242" s="202"/>
      <c r="G242" s="206"/>
      <c r="H242" s="206"/>
      <c r="I242" s="202"/>
      <c r="J242" s="219"/>
      <c r="K242" s="202"/>
      <c r="L242" s="206"/>
      <c r="M242" s="206"/>
      <c r="N242" s="202"/>
      <c r="O242" s="202"/>
      <c r="P242" s="205"/>
      <c r="Q242" s="207"/>
      <c r="R242" s="202"/>
      <c r="S242" s="202"/>
      <c r="T242" s="202"/>
      <c r="U242" s="203"/>
      <c r="V242" s="202"/>
      <c r="W242" s="202"/>
      <c r="X242" s="202"/>
    </row>
    <row r="243" spans="3:24" x14ac:dyDescent="0.45">
      <c r="C243" s="204"/>
      <c r="D243" s="205"/>
      <c r="E243" s="202"/>
      <c r="F243" s="202"/>
      <c r="G243" s="206"/>
      <c r="H243" s="206"/>
      <c r="I243" s="202"/>
      <c r="J243" s="219"/>
      <c r="K243" s="202"/>
      <c r="L243" s="206"/>
      <c r="M243" s="206"/>
      <c r="N243" s="202"/>
      <c r="O243" s="202"/>
      <c r="P243" s="205"/>
      <c r="Q243" s="207"/>
      <c r="R243" s="202"/>
      <c r="S243" s="202"/>
      <c r="T243" s="202"/>
      <c r="U243" s="203"/>
      <c r="V243" s="202"/>
      <c r="W243" s="202"/>
      <c r="X243" s="202"/>
    </row>
    <row r="244" spans="3:24" x14ac:dyDescent="0.45">
      <c r="C244" s="204"/>
      <c r="D244" s="205"/>
      <c r="E244" s="202"/>
      <c r="F244" s="202"/>
      <c r="G244" s="206"/>
      <c r="H244" s="206"/>
      <c r="I244" s="202"/>
      <c r="J244" s="219"/>
      <c r="K244" s="202"/>
      <c r="L244" s="206"/>
      <c r="M244" s="206"/>
      <c r="N244" s="202"/>
      <c r="O244" s="202"/>
      <c r="P244" s="205"/>
      <c r="Q244" s="207"/>
      <c r="R244" s="202"/>
      <c r="S244" s="202"/>
      <c r="T244" s="202"/>
      <c r="U244" s="203"/>
      <c r="V244" s="202"/>
      <c r="W244" s="202"/>
      <c r="X244" s="202"/>
    </row>
    <row r="245" spans="3:24" x14ac:dyDescent="0.45">
      <c r="C245" s="204"/>
      <c r="D245" s="205"/>
      <c r="E245" s="202"/>
      <c r="F245" s="202"/>
      <c r="G245" s="206"/>
      <c r="H245" s="206"/>
      <c r="I245" s="202"/>
      <c r="J245" s="219"/>
      <c r="K245" s="202"/>
      <c r="L245" s="206"/>
      <c r="M245" s="206"/>
      <c r="N245" s="202"/>
      <c r="O245" s="202"/>
      <c r="P245" s="205"/>
      <c r="Q245" s="207"/>
      <c r="R245" s="202"/>
      <c r="S245" s="202"/>
      <c r="T245" s="202"/>
      <c r="U245" s="203"/>
      <c r="V245" s="202"/>
      <c r="W245" s="202"/>
      <c r="X245" s="202"/>
    </row>
    <row r="246" spans="3:24" x14ac:dyDescent="0.45">
      <c r="C246" s="204"/>
      <c r="D246" s="205"/>
      <c r="E246" s="202"/>
      <c r="F246" s="202"/>
      <c r="G246" s="206"/>
      <c r="H246" s="206"/>
      <c r="I246" s="202"/>
      <c r="J246" s="219"/>
      <c r="K246" s="202"/>
      <c r="L246" s="206"/>
      <c r="M246" s="206"/>
      <c r="N246" s="202"/>
      <c r="O246" s="202"/>
      <c r="P246" s="205"/>
      <c r="Q246" s="207"/>
      <c r="R246" s="202"/>
      <c r="S246" s="202"/>
      <c r="T246" s="202"/>
      <c r="U246" s="203"/>
      <c r="V246" s="202"/>
      <c r="W246" s="202"/>
      <c r="X246" s="202"/>
    </row>
    <row r="247" spans="3:24" x14ac:dyDescent="0.45">
      <c r="C247" s="204"/>
      <c r="D247" s="205"/>
      <c r="E247" s="202"/>
      <c r="F247" s="202"/>
      <c r="G247" s="206"/>
      <c r="H247" s="206"/>
      <c r="I247" s="202"/>
      <c r="J247" s="219"/>
      <c r="K247" s="202"/>
      <c r="L247" s="206"/>
      <c r="M247" s="206"/>
      <c r="N247" s="202"/>
      <c r="O247" s="202"/>
      <c r="P247" s="205"/>
      <c r="Q247" s="207"/>
      <c r="R247" s="202"/>
      <c r="S247" s="202"/>
      <c r="T247" s="202"/>
      <c r="U247" s="203"/>
      <c r="V247" s="202"/>
      <c r="W247" s="202"/>
      <c r="X247" s="202"/>
    </row>
    <row r="248" spans="3:24" x14ac:dyDescent="0.45">
      <c r="C248" s="204"/>
      <c r="D248" s="205"/>
      <c r="E248" s="202"/>
      <c r="F248" s="202"/>
      <c r="G248" s="206"/>
      <c r="H248" s="206"/>
      <c r="I248" s="202"/>
      <c r="J248" s="219"/>
      <c r="K248" s="202"/>
      <c r="L248" s="206"/>
      <c r="M248" s="206"/>
      <c r="N248" s="202"/>
      <c r="O248" s="202"/>
      <c r="P248" s="205"/>
      <c r="Q248" s="207"/>
      <c r="R248" s="202"/>
      <c r="S248" s="202"/>
      <c r="T248" s="202"/>
      <c r="U248" s="203"/>
      <c r="V248" s="202"/>
      <c r="W248" s="202"/>
      <c r="X248" s="202"/>
    </row>
    <row r="249" spans="3:24" x14ac:dyDescent="0.45">
      <c r="C249" s="204"/>
      <c r="D249" s="205"/>
      <c r="E249" s="202"/>
      <c r="F249" s="202"/>
      <c r="G249" s="206"/>
      <c r="H249" s="206"/>
      <c r="I249" s="202"/>
      <c r="J249" s="219"/>
      <c r="K249" s="202"/>
      <c r="L249" s="206"/>
      <c r="M249" s="206"/>
      <c r="N249" s="202"/>
      <c r="O249" s="202"/>
      <c r="P249" s="205"/>
      <c r="Q249" s="207"/>
      <c r="R249" s="202"/>
      <c r="S249" s="202"/>
      <c r="T249" s="202"/>
      <c r="U249" s="203"/>
      <c r="V249" s="202"/>
      <c r="W249" s="202"/>
      <c r="X249" s="202"/>
    </row>
    <row r="250" spans="3:24" x14ac:dyDescent="0.45">
      <c r="C250" s="204"/>
      <c r="D250" s="205"/>
      <c r="E250" s="202"/>
      <c r="F250" s="202"/>
      <c r="G250" s="206"/>
      <c r="H250" s="206"/>
      <c r="I250" s="202"/>
      <c r="J250" s="219"/>
      <c r="K250" s="202"/>
      <c r="L250" s="206"/>
      <c r="M250" s="206"/>
      <c r="N250" s="202"/>
      <c r="O250" s="202"/>
      <c r="P250" s="205"/>
      <c r="Q250" s="207"/>
      <c r="R250" s="202"/>
      <c r="S250" s="202"/>
      <c r="T250" s="202"/>
      <c r="U250" s="203"/>
      <c r="V250" s="202"/>
      <c r="W250" s="202"/>
      <c r="X250" s="202"/>
    </row>
    <row r="251" spans="3:24" x14ac:dyDescent="0.45">
      <c r="C251" s="204"/>
      <c r="D251" s="205"/>
      <c r="E251" s="202"/>
      <c r="F251" s="202"/>
      <c r="G251" s="206"/>
      <c r="H251" s="206"/>
      <c r="I251" s="202"/>
      <c r="J251" s="219"/>
      <c r="K251" s="202"/>
      <c r="L251" s="206"/>
      <c r="M251" s="206"/>
      <c r="N251" s="202"/>
      <c r="O251" s="202"/>
      <c r="P251" s="205"/>
      <c r="Q251" s="207"/>
      <c r="R251" s="202"/>
      <c r="S251" s="202"/>
      <c r="T251" s="202"/>
      <c r="U251" s="203"/>
      <c r="V251" s="202"/>
      <c r="W251" s="202"/>
      <c r="X251" s="202"/>
    </row>
    <row r="252" spans="3:24" x14ac:dyDescent="0.45">
      <c r="C252" s="204"/>
      <c r="D252" s="205"/>
      <c r="E252" s="202"/>
      <c r="F252" s="202"/>
      <c r="G252" s="206"/>
      <c r="H252" s="206"/>
      <c r="I252" s="202"/>
      <c r="J252" s="219"/>
      <c r="K252" s="202"/>
      <c r="L252" s="206"/>
      <c r="M252" s="206"/>
      <c r="N252" s="202"/>
      <c r="O252" s="202"/>
      <c r="P252" s="205"/>
      <c r="Q252" s="207"/>
      <c r="R252" s="202"/>
      <c r="S252" s="202"/>
      <c r="T252" s="202"/>
      <c r="U252" s="203"/>
      <c r="V252" s="202"/>
      <c r="W252" s="202"/>
      <c r="X252" s="202"/>
    </row>
    <row r="253" spans="3:24" x14ac:dyDescent="0.45">
      <c r="C253" s="204"/>
      <c r="D253" s="205"/>
      <c r="E253" s="202"/>
      <c r="F253" s="202"/>
      <c r="G253" s="206"/>
      <c r="H253" s="206"/>
      <c r="I253" s="202"/>
      <c r="J253" s="219"/>
      <c r="K253" s="202"/>
      <c r="L253" s="206"/>
      <c r="M253" s="206"/>
      <c r="N253" s="202"/>
      <c r="O253" s="202"/>
      <c r="P253" s="205"/>
      <c r="Q253" s="207"/>
      <c r="R253" s="202"/>
      <c r="S253" s="202"/>
      <c r="T253" s="202"/>
      <c r="U253" s="203"/>
      <c r="V253" s="202"/>
      <c r="W253" s="202"/>
      <c r="X253" s="202"/>
    </row>
    <row r="254" spans="3:24" x14ac:dyDescent="0.45">
      <c r="C254" s="204"/>
      <c r="D254" s="205"/>
      <c r="E254" s="202"/>
      <c r="F254" s="202"/>
      <c r="G254" s="206"/>
      <c r="H254" s="206"/>
      <c r="I254" s="202"/>
      <c r="J254" s="219"/>
      <c r="K254" s="202"/>
      <c r="L254" s="206"/>
      <c r="M254" s="206"/>
      <c r="N254" s="202"/>
      <c r="O254" s="202"/>
      <c r="P254" s="205"/>
      <c r="Q254" s="207"/>
      <c r="R254" s="202"/>
      <c r="S254" s="202"/>
      <c r="T254" s="202"/>
      <c r="U254" s="203"/>
      <c r="V254" s="202"/>
      <c r="W254" s="202"/>
      <c r="X254" s="202"/>
    </row>
    <row r="255" spans="3:24" x14ac:dyDescent="0.45">
      <c r="C255" s="204"/>
      <c r="D255" s="205"/>
      <c r="E255" s="202"/>
      <c r="F255" s="202"/>
      <c r="G255" s="206"/>
      <c r="H255" s="206"/>
      <c r="I255" s="202"/>
      <c r="J255" s="219"/>
      <c r="K255" s="202"/>
      <c r="L255" s="206"/>
      <c r="M255" s="206"/>
      <c r="N255" s="202"/>
      <c r="O255" s="202"/>
      <c r="P255" s="205"/>
      <c r="Q255" s="207"/>
      <c r="R255" s="202"/>
      <c r="S255" s="202"/>
      <c r="T255" s="202"/>
      <c r="U255" s="203"/>
      <c r="V255" s="202"/>
      <c r="W255" s="202"/>
      <c r="X255" s="202"/>
    </row>
    <row r="256" spans="3:24" x14ac:dyDescent="0.45">
      <c r="C256" s="204"/>
      <c r="D256" s="205"/>
      <c r="E256" s="202"/>
      <c r="F256" s="202"/>
      <c r="G256" s="206"/>
      <c r="H256" s="206"/>
      <c r="I256" s="202"/>
      <c r="J256" s="219"/>
      <c r="K256" s="202"/>
      <c r="L256" s="206"/>
      <c r="M256" s="206"/>
      <c r="N256" s="202"/>
      <c r="O256" s="202"/>
      <c r="P256" s="205"/>
      <c r="Q256" s="207"/>
      <c r="R256" s="202"/>
      <c r="S256" s="202"/>
      <c r="T256" s="202"/>
      <c r="U256" s="203"/>
      <c r="V256" s="202"/>
      <c r="W256" s="202"/>
      <c r="X256" s="202"/>
    </row>
    <row r="257" spans="3:24" x14ac:dyDescent="0.45">
      <c r="C257" s="204"/>
      <c r="D257" s="205"/>
      <c r="E257" s="202"/>
      <c r="F257" s="202"/>
      <c r="G257" s="206"/>
      <c r="H257" s="206"/>
      <c r="I257" s="202"/>
      <c r="J257" s="219"/>
      <c r="K257" s="202"/>
      <c r="L257" s="206"/>
      <c r="M257" s="206"/>
      <c r="N257" s="202"/>
      <c r="O257" s="202"/>
      <c r="P257" s="205"/>
      <c r="Q257" s="207"/>
      <c r="R257" s="202"/>
      <c r="S257" s="202"/>
      <c r="T257" s="202"/>
      <c r="U257" s="203"/>
      <c r="V257" s="202"/>
      <c r="W257" s="202"/>
      <c r="X257" s="202"/>
    </row>
    <row r="258" spans="3:24" x14ac:dyDescent="0.45">
      <c r="C258" s="204"/>
      <c r="D258" s="205"/>
      <c r="E258" s="202"/>
      <c r="F258" s="202"/>
      <c r="G258" s="206"/>
      <c r="H258" s="206"/>
      <c r="I258" s="202"/>
      <c r="J258" s="219"/>
      <c r="K258" s="202"/>
      <c r="L258" s="206"/>
      <c r="M258" s="206"/>
      <c r="N258" s="202"/>
      <c r="O258" s="202"/>
      <c r="P258" s="205"/>
      <c r="Q258" s="207"/>
      <c r="R258" s="202"/>
      <c r="S258" s="202"/>
      <c r="T258" s="202"/>
      <c r="U258" s="203"/>
      <c r="V258" s="202"/>
      <c r="W258" s="202"/>
      <c r="X258" s="202"/>
    </row>
    <row r="259" spans="3:24" x14ac:dyDescent="0.45">
      <c r="C259" s="204"/>
      <c r="D259" s="205"/>
      <c r="E259" s="202"/>
      <c r="F259" s="202"/>
      <c r="G259" s="206"/>
      <c r="H259" s="206"/>
      <c r="I259" s="202"/>
      <c r="J259" s="219"/>
      <c r="K259" s="202"/>
      <c r="L259" s="206"/>
      <c r="M259" s="206"/>
      <c r="N259" s="202"/>
      <c r="O259" s="202"/>
      <c r="P259" s="205"/>
      <c r="Q259" s="207"/>
      <c r="R259" s="202"/>
      <c r="S259" s="202"/>
      <c r="T259" s="202"/>
      <c r="U259" s="203"/>
      <c r="V259" s="202"/>
      <c r="W259" s="202"/>
      <c r="X259" s="202"/>
    </row>
    <row r="260" spans="3:24" x14ac:dyDescent="0.45">
      <c r="C260" s="204"/>
      <c r="D260" s="205"/>
      <c r="E260" s="202"/>
      <c r="F260" s="202"/>
      <c r="G260" s="206"/>
      <c r="H260" s="206"/>
      <c r="I260" s="202"/>
      <c r="J260" s="219"/>
      <c r="K260" s="202"/>
      <c r="L260" s="206"/>
      <c r="M260" s="206"/>
      <c r="N260" s="202"/>
      <c r="O260" s="202"/>
      <c r="P260" s="205"/>
      <c r="Q260" s="207"/>
      <c r="R260" s="202"/>
      <c r="S260" s="202"/>
      <c r="T260" s="202"/>
      <c r="U260" s="203"/>
      <c r="V260" s="202"/>
      <c r="W260" s="202"/>
      <c r="X260" s="202"/>
    </row>
    <row r="261" spans="3:24" x14ac:dyDescent="0.45">
      <c r="C261" s="204"/>
      <c r="D261" s="205"/>
      <c r="E261" s="202"/>
      <c r="F261" s="202"/>
      <c r="G261" s="206"/>
      <c r="H261" s="206"/>
      <c r="I261" s="202"/>
      <c r="J261" s="219"/>
      <c r="K261" s="202"/>
      <c r="L261" s="206"/>
      <c r="M261" s="206"/>
      <c r="N261" s="202"/>
      <c r="O261" s="202"/>
      <c r="P261" s="205"/>
      <c r="Q261" s="207"/>
      <c r="R261" s="202"/>
      <c r="S261" s="202"/>
      <c r="T261" s="202"/>
      <c r="U261" s="203"/>
      <c r="V261" s="202"/>
      <c r="W261" s="202"/>
      <c r="X261" s="202"/>
    </row>
    <row r="262" spans="3:24" x14ac:dyDescent="0.45">
      <c r="C262" s="204"/>
      <c r="D262" s="205"/>
      <c r="E262" s="202"/>
      <c r="F262" s="202"/>
      <c r="G262" s="206"/>
      <c r="H262" s="206"/>
      <c r="I262" s="202"/>
      <c r="J262" s="219"/>
      <c r="K262" s="202"/>
      <c r="L262" s="206"/>
      <c r="M262" s="206"/>
      <c r="N262" s="202"/>
      <c r="O262" s="202"/>
      <c r="P262" s="205"/>
      <c r="Q262" s="207"/>
      <c r="R262" s="202"/>
      <c r="S262" s="202"/>
      <c r="T262" s="202"/>
      <c r="U262" s="203"/>
      <c r="V262" s="202"/>
      <c r="W262" s="202"/>
      <c r="X262" s="202"/>
    </row>
    <row r="263" spans="3:24" x14ac:dyDescent="0.45">
      <c r="C263" s="204"/>
      <c r="D263" s="205"/>
      <c r="E263" s="202"/>
      <c r="F263" s="202"/>
      <c r="G263" s="206"/>
      <c r="H263" s="206"/>
      <c r="I263" s="202"/>
      <c r="J263" s="219"/>
      <c r="K263" s="202"/>
      <c r="L263" s="206"/>
      <c r="M263" s="206"/>
      <c r="N263" s="202"/>
      <c r="O263" s="202"/>
      <c r="P263" s="205"/>
      <c r="Q263" s="207"/>
      <c r="R263" s="202"/>
      <c r="S263" s="202"/>
      <c r="T263" s="202"/>
      <c r="U263" s="203"/>
      <c r="V263" s="202"/>
      <c r="W263" s="202"/>
      <c r="X263" s="202"/>
    </row>
    <row r="264" spans="3:24" x14ac:dyDescent="0.45">
      <c r="C264" s="204"/>
      <c r="D264" s="205"/>
      <c r="E264" s="202"/>
      <c r="F264" s="202"/>
      <c r="G264" s="206"/>
      <c r="H264" s="206"/>
      <c r="I264" s="202"/>
      <c r="J264" s="219"/>
      <c r="K264" s="202"/>
      <c r="L264" s="206"/>
      <c r="M264" s="206"/>
      <c r="N264" s="202"/>
      <c r="O264" s="202"/>
      <c r="P264" s="205"/>
      <c r="Q264" s="207"/>
      <c r="R264" s="202"/>
      <c r="S264" s="202"/>
      <c r="T264" s="202"/>
      <c r="U264" s="203"/>
      <c r="V264" s="202"/>
      <c r="W264" s="202"/>
      <c r="X264" s="202"/>
    </row>
    <row r="265" spans="3:24" x14ac:dyDescent="0.45">
      <c r="C265" s="204"/>
      <c r="D265" s="205"/>
      <c r="E265" s="202"/>
      <c r="F265" s="202"/>
      <c r="G265" s="206"/>
      <c r="H265" s="206"/>
      <c r="I265" s="202"/>
      <c r="J265" s="219"/>
      <c r="K265" s="202"/>
      <c r="L265" s="206"/>
      <c r="M265" s="206"/>
      <c r="N265" s="202"/>
      <c r="O265" s="202"/>
      <c r="P265" s="205"/>
      <c r="Q265" s="207"/>
      <c r="R265" s="202"/>
      <c r="S265" s="202"/>
      <c r="T265" s="202"/>
      <c r="U265" s="203"/>
      <c r="V265" s="202"/>
      <c r="W265" s="202"/>
      <c r="X265" s="202"/>
    </row>
    <row r="266" spans="3:24" x14ac:dyDescent="0.45">
      <c r="C266" s="204"/>
      <c r="D266" s="205"/>
      <c r="E266" s="202"/>
      <c r="F266" s="202"/>
      <c r="G266" s="206"/>
      <c r="H266" s="206"/>
      <c r="I266" s="202"/>
      <c r="J266" s="219"/>
      <c r="K266" s="202"/>
      <c r="L266" s="206"/>
      <c r="M266" s="206"/>
      <c r="N266" s="202"/>
      <c r="O266" s="202"/>
      <c r="P266" s="205"/>
      <c r="Q266" s="207"/>
      <c r="R266" s="202"/>
      <c r="S266" s="202"/>
      <c r="T266" s="202"/>
      <c r="U266" s="203"/>
      <c r="V266" s="202"/>
      <c r="W266" s="202"/>
      <c r="X266" s="202"/>
    </row>
    <row r="267" spans="3:24" x14ac:dyDescent="0.45">
      <c r="C267" s="204"/>
      <c r="D267" s="205"/>
      <c r="E267" s="202"/>
      <c r="F267" s="202"/>
      <c r="G267" s="206"/>
      <c r="H267" s="206"/>
      <c r="I267" s="202"/>
      <c r="J267" s="219"/>
      <c r="K267" s="202"/>
      <c r="L267" s="206"/>
      <c r="M267" s="206"/>
      <c r="N267" s="202"/>
      <c r="O267" s="202"/>
      <c r="P267" s="205"/>
      <c r="Q267" s="207"/>
      <c r="R267" s="202"/>
      <c r="S267" s="202"/>
      <c r="T267" s="202"/>
      <c r="U267" s="203"/>
      <c r="V267" s="202"/>
      <c r="W267" s="202"/>
      <c r="X267" s="202"/>
    </row>
    <row r="268" spans="3:24" x14ac:dyDescent="0.45">
      <c r="C268" s="204"/>
      <c r="D268" s="205"/>
      <c r="E268" s="202"/>
      <c r="F268" s="202"/>
      <c r="G268" s="206"/>
      <c r="H268" s="206"/>
      <c r="I268" s="202"/>
      <c r="J268" s="219"/>
      <c r="K268" s="202"/>
      <c r="L268" s="206"/>
      <c r="M268" s="206"/>
      <c r="N268" s="202"/>
      <c r="O268" s="202"/>
      <c r="P268" s="205"/>
      <c r="Q268" s="207"/>
      <c r="R268" s="202"/>
      <c r="S268" s="202"/>
      <c r="T268" s="202"/>
      <c r="U268" s="203"/>
      <c r="V268" s="202"/>
      <c r="W268" s="202"/>
      <c r="X268" s="202"/>
    </row>
    <row r="269" spans="3:24" x14ac:dyDescent="0.45">
      <c r="C269" s="204"/>
      <c r="D269" s="205"/>
      <c r="E269" s="202"/>
      <c r="F269" s="202"/>
      <c r="G269" s="206"/>
      <c r="H269" s="206"/>
      <c r="I269" s="202"/>
      <c r="J269" s="219"/>
      <c r="K269" s="202"/>
      <c r="L269" s="206"/>
      <c r="M269" s="206"/>
      <c r="N269" s="202"/>
      <c r="O269" s="202"/>
      <c r="P269" s="205"/>
      <c r="Q269" s="207"/>
      <c r="R269" s="202"/>
      <c r="S269" s="202"/>
      <c r="T269" s="202"/>
      <c r="U269" s="203"/>
      <c r="V269" s="202"/>
      <c r="W269" s="202"/>
      <c r="X269" s="202"/>
    </row>
    <row r="270" spans="3:24" x14ac:dyDescent="0.45">
      <c r="C270" s="204"/>
      <c r="D270" s="205"/>
      <c r="E270" s="202"/>
      <c r="F270" s="202"/>
      <c r="G270" s="206"/>
      <c r="H270" s="206"/>
      <c r="I270" s="202"/>
      <c r="J270" s="219"/>
      <c r="K270" s="202"/>
      <c r="L270" s="206"/>
      <c r="M270" s="206"/>
      <c r="N270" s="202"/>
      <c r="O270" s="202"/>
      <c r="P270" s="205"/>
      <c r="Q270" s="207"/>
      <c r="R270" s="202"/>
      <c r="S270" s="202"/>
      <c r="T270" s="202"/>
      <c r="U270" s="203"/>
      <c r="V270" s="202"/>
      <c r="W270" s="202"/>
      <c r="X270" s="202"/>
    </row>
    <row r="271" spans="3:24" x14ac:dyDescent="0.45">
      <c r="C271" s="204"/>
      <c r="D271" s="205"/>
      <c r="E271" s="202"/>
      <c r="F271" s="202"/>
      <c r="G271" s="206"/>
      <c r="H271" s="206"/>
      <c r="I271" s="202"/>
      <c r="J271" s="219"/>
      <c r="K271" s="202"/>
      <c r="L271" s="206"/>
      <c r="M271" s="206"/>
      <c r="N271" s="202"/>
      <c r="O271" s="202"/>
      <c r="P271" s="205"/>
      <c r="Q271" s="207"/>
      <c r="R271" s="202"/>
      <c r="S271" s="202"/>
      <c r="T271" s="202"/>
      <c r="U271" s="203"/>
      <c r="V271" s="202"/>
      <c r="W271" s="202"/>
      <c r="X271" s="202"/>
    </row>
    <row r="272" spans="3:24" x14ac:dyDescent="0.45">
      <c r="C272" s="204"/>
      <c r="D272" s="205"/>
      <c r="E272" s="202"/>
      <c r="F272" s="202"/>
      <c r="G272" s="206"/>
      <c r="H272" s="206"/>
      <c r="I272" s="202"/>
      <c r="J272" s="219"/>
      <c r="K272" s="202"/>
      <c r="L272" s="206"/>
      <c r="M272" s="206"/>
      <c r="N272" s="202"/>
      <c r="O272" s="202"/>
      <c r="P272" s="205"/>
      <c r="Q272" s="207"/>
      <c r="R272" s="202"/>
      <c r="S272" s="202"/>
      <c r="T272" s="202"/>
      <c r="U272" s="203"/>
      <c r="V272" s="202"/>
      <c r="W272" s="202"/>
      <c r="X272" s="202"/>
    </row>
    <row r="273" spans="3:24" x14ac:dyDescent="0.45">
      <c r="C273" s="204"/>
      <c r="D273" s="205"/>
      <c r="E273" s="202"/>
      <c r="F273" s="202"/>
      <c r="G273" s="206"/>
      <c r="H273" s="206"/>
      <c r="I273" s="202"/>
      <c r="J273" s="219"/>
      <c r="K273" s="202"/>
      <c r="L273" s="206"/>
      <c r="M273" s="206"/>
      <c r="N273" s="202"/>
      <c r="O273" s="202"/>
      <c r="P273" s="205"/>
      <c r="Q273" s="207"/>
      <c r="R273" s="202"/>
      <c r="S273" s="202"/>
      <c r="T273" s="202"/>
      <c r="U273" s="203"/>
      <c r="V273" s="202"/>
      <c r="W273" s="202"/>
      <c r="X273" s="202"/>
    </row>
    <row r="274" spans="3:24" x14ac:dyDescent="0.45">
      <c r="C274" s="204"/>
      <c r="D274" s="205"/>
      <c r="E274" s="202"/>
      <c r="F274" s="202"/>
      <c r="G274" s="206"/>
      <c r="H274" s="206"/>
      <c r="I274" s="202"/>
      <c r="J274" s="219"/>
      <c r="K274" s="202"/>
      <c r="L274" s="206"/>
      <c r="M274" s="206"/>
      <c r="N274" s="202"/>
      <c r="O274" s="202"/>
      <c r="P274" s="205"/>
      <c r="Q274" s="207"/>
      <c r="R274" s="202"/>
      <c r="S274" s="202"/>
      <c r="T274" s="202"/>
      <c r="U274" s="203"/>
      <c r="V274" s="202"/>
      <c r="W274" s="202"/>
      <c r="X274" s="202"/>
    </row>
    <row r="275" spans="3:24" x14ac:dyDescent="0.45">
      <c r="C275" s="204"/>
      <c r="D275" s="205"/>
      <c r="E275" s="202"/>
      <c r="F275" s="202"/>
      <c r="G275" s="206"/>
      <c r="H275" s="206"/>
      <c r="I275" s="202"/>
      <c r="J275" s="219"/>
      <c r="K275" s="202"/>
      <c r="L275" s="206"/>
      <c r="M275" s="206"/>
      <c r="N275" s="202"/>
      <c r="O275" s="202"/>
      <c r="P275" s="205"/>
      <c r="Q275" s="207"/>
      <c r="R275" s="202"/>
      <c r="S275" s="202"/>
      <c r="T275" s="202"/>
      <c r="U275" s="203"/>
      <c r="V275" s="202"/>
      <c r="W275" s="202"/>
      <c r="X275" s="202"/>
    </row>
    <row r="276" spans="3:24" x14ac:dyDescent="0.45">
      <c r="C276" s="204"/>
      <c r="D276" s="205"/>
      <c r="E276" s="202"/>
      <c r="F276" s="202"/>
      <c r="G276" s="206"/>
      <c r="H276" s="206"/>
      <c r="I276" s="202"/>
      <c r="J276" s="219"/>
      <c r="K276" s="202"/>
      <c r="L276" s="206"/>
      <c r="M276" s="206"/>
      <c r="N276" s="202"/>
      <c r="O276" s="202"/>
      <c r="P276" s="205"/>
      <c r="Q276" s="207"/>
      <c r="R276" s="202"/>
      <c r="S276" s="202"/>
      <c r="T276" s="202"/>
      <c r="U276" s="203"/>
      <c r="V276" s="202"/>
      <c r="W276" s="202"/>
      <c r="X276" s="202"/>
    </row>
    <row r="277" spans="3:24" x14ac:dyDescent="0.45">
      <c r="C277" s="204"/>
      <c r="D277" s="205"/>
      <c r="E277" s="202"/>
      <c r="F277" s="202"/>
      <c r="G277" s="206"/>
      <c r="H277" s="206"/>
      <c r="I277" s="202"/>
      <c r="J277" s="219"/>
      <c r="K277" s="202"/>
      <c r="L277" s="206"/>
      <c r="M277" s="206"/>
      <c r="N277" s="202"/>
      <c r="O277" s="202"/>
      <c r="P277" s="205"/>
      <c r="Q277" s="207"/>
      <c r="R277" s="202"/>
      <c r="S277" s="202"/>
      <c r="T277" s="202"/>
      <c r="U277" s="203"/>
      <c r="V277" s="202"/>
      <c r="W277" s="202"/>
      <c r="X277" s="202"/>
    </row>
    <row r="278" spans="3:24" x14ac:dyDescent="0.45">
      <c r="C278" s="204"/>
      <c r="D278" s="205"/>
      <c r="E278" s="202"/>
      <c r="F278" s="202"/>
      <c r="G278" s="206"/>
      <c r="H278" s="206"/>
      <c r="I278" s="202"/>
      <c r="J278" s="219"/>
      <c r="K278" s="202"/>
      <c r="L278" s="206"/>
      <c r="M278" s="206"/>
      <c r="N278" s="202"/>
      <c r="O278" s="202"/>
      <c r="P278" s="205"/>
      <c r="Q278" s="207"/>
      <c r="R278" s="202"/>
      <c r="S278" s="202"/>
      <c r="T278" s="202"/>
      <c r="U278" s="203"/>
      <c r="V278" s="202"/>
      <c r="W278" s="202"/>
      <c r="X278" s="202"/>
    </row>
    <row r="279" spans="3:24" x14ac:dyDescent="0.45">
      <c r="C279" s="204"/>
      <c r="D279" s="205"/>
      <c r="E279" s="202"/>
      <c r="F279" s="202"/>
      <c r="G279" s="206"/>
      <c r="H279" s="206"/>
      <c r="I279" s="202"/>
      <c r="J279" s="219"/>
      <c r="K279" s="202"/>
      <c r="L279" s="206"/>
      <c r="M279" s="206"/>
      <c r="N279" s="202"/>
      <c r="O279" s="202"/>
      <c r="P279" s="205"/>
      <c r="Q279" s="207"/>
      <c r="R279" s="202"/>
      <c r="S279" s="202"/>
      <c r="T279" s="202"/>
      <c r="U279" s="203"/>
      <c r="V279" s="202"/>
      <c r="W279" s="202"/>
      <c r="X279" s="202"/>
    </row>
    <row r="280" spans="3:24" x14ac:dyDescent="0.45">
      <c r="C280" s="204"/>
      <c r="D280" s="205"/>
      <c r="E280" s="202"/>
      <c r="F280" s="202"/>
      <c r="G280" s="206"/>
      <c r="H280" s="206"/>
      <c r="I280" s="202"/>
      <c r="J280" s="219"/>
      <c r="K280" s="202"/>
      <c r="L280" s="206"/>
      <c r="M280" s="206"/>
      <c r="N280" s="202"/>
      <c r="O280" s="202"/>
      <c r="P280" s="205"/>
      <c r="Q280" s="207"/>
      <c r="R280" s="202"/>
      <c r="S280" s="202"/>
      <c r="T280" s="202"/>
      <c r="U280" s="203"/>
      <c r="V280" s="202"/>
      <c r="W280" s="202"/>
      <c r="X280" s="202"/>
    </row>
    <row r="281" spans="3:24" x14ac:dyDescent="0.45">
      <c r="C281" s="204"/>
      <c r="D281" s="205"/>
      <c r="E281" s="202"/>
      <c r="F281" s="202"/>
      <c r="G281" s="206"/>
      <c r="H281" s="206"/>
      <c r="I281" s="202"/>
      <c r="J281" s="219"/>
      <c r="K281" s="202"/>
      <c r="L281" s="206"/>
      <c r="M281" s="206"/>
      <c r="N281" s="202"/>
      <c r="O281" s="202"/>
      <c r="P281" s="205"/>
      <c r="Q281" s="207"/>
      <c r="R281" s="202"/>
      <c r="S281" s="202"/>
      <c r="T281" s="202"/>
      <c r="U281" s="203"/>
      <c r="V281" s="202"/>
      <c r="W281" s="202"/>
      <c r="X281" s="202"/>
    </row>
    <row r="282" spans="3:24" x14ac:dyDescent="0.45">
      <c r="C282" s="204"/>
      <c r="D282" s="205"/>
      <c r="E282" s="202"/>
      <c r="F282" s="202"/>
      <c r="G282" s="206"/>
      <c r="H282" s="206"/>
      <c r="I282" s="202"/>
      <c r="J282" s="219"/>
      <c r="K282" s="202"/>
      <c r="L282" s="206"/>
      <c r="M282" s="206"/>
      <c r="N282" s="202"/>
      <c r="O282" s="202"/>
      <c r="P282" s="205"/>
      <c r="Q282" s="207"/>
      <c r="R282" s="202"/>
      <c r="S282" s="202"/>
      <c r="T282" s="202"/>
      <c r="U282" s="203"/>
      <c r="V282" s="202"/>
      <c r="W282" s="202"/>
      <c r="X282" s="202"/>
    </row>
    <row r="283" spans="3:24" x14ac:dyDescent="0.45">
      <c r="C283" s="204"/>
      <c r="D283" s="205"/>
      <c r="E283" s="202"/>
      <c r="F283" s="202"/>
      <c r="G283" s="206"/>
      <c r="H283" s="206"/>
      <c r="I283" s="202"/>
      <c r="J283" s="219"/>
      <c r="K283" s="202"/>
      <c r="L283" s="206"/>
      <c r="M283" s="206"/>
      <c r="N283" s="202"/>
      <c r="O283" s="202"/>
      <c r="P283" s="205"/>
      <c r="Q283" s="207"/>
      <c r="R283" s="202"/>
      <c r="S283" s="202"/>
      <c r="T283" s="202"/>
      <c r="U283" s="203"/>
      <c r="V283" s="202"/>
      <c r="W283" s="202"/>
      <c r="X283" s="202"/>
    </row>
    <row r="284" spans="3:24" x14ac:dyDescent="0.45">
      <c r="C284" s="204"/>
      <c r="D284" s="205"/>
      <c r="E284" s="202"/>
      <c r="F284" s="202"/>
      <c r="G284" s="206"/>
      <c r="H284" s="206"/>
      <c r="I284" s="202"/>
      <c r="J284" s="219"/>
      <c r="K284" s="202"/>
      <c r="L284" s="206"/>
      <c r="M284" s="206"/>
      <c r="N284" s="202"/>
      <c r="O284" s="202"/>
      <c r="P284" s="205"/>
      <c r="Q284" s="207"/>
      <c r="R284" s="202"/>
      <c r="S284" s="202"/>
      <c r="T284" s="202"/>
      <c r="U284" s="203"/>
      <c r="V284" s="202"/>
      <c r="W284" s="202"/>
      <c r="X284" s="202"/>
    </row>
    <row r="285" spans="3:24" x14ac:dyDescent="0.45">
      <c r="C285" s="204"/>
      <c r="D285" s="205"/>
      <c r="E285" s="202"/>
      <c r="F285" s="202"/>
      <c r="G285" s="206"/>
      <c r="H285" s="206"/>
      <c r="I285" s="202"/>
      <c r="J285" s="219"/>
      <c r="K285" s="202"/>
      <c r="L285" s="206"/>
      <c r="M285" s="206"/>
      <c r="N285" s="202"/>
      <c r="O285" s="202"/>
      <c r="P285" s="205"/>
      <c r="Q285" s="207"/>
      <c r="R285" s="202"/>
      <c r="S285" s="202"/>
      <c r="T285" s="202"/>
      <c r="U285" s="203"/>
      <c r="V285" s="202"/>
      <c r="W285" s="202"/>
      <c r="X285" s="202"/>
    </row>
    <row r="286" spans="3:24" x14ac:dyDescent="0.45">
      <c r="C286" s="204"/>
      <c r="D286" s="205"/>
      <c r="E286" s="202"/>
      <c r="F286" s="202"/>
      <c r="G286" s="206"/>
      <c r="H286" s="206"/>
      <c r="I286" s="202"/>
      <c r="J286" s="219"/>
      <c r="K286" s="202"/>
      <c r="L286" s="206"/>
      <c r="M286" s="206"/>
      <c r="N286" s="202"/>
      <c r="O286" s="202"/>
      <c r="P286" s="205"/>
      <c r="Q286" s="207"/>
      <c r="R286" s="202"/>
      <c r="S286" s="202"/>
      <c r="T286" s="202"/>
      <c r="U286" s="203"/>
      <c r="V286" s="202"/>
      <c r="W286" s="202"/>
      <c r="X286" s="202"/>
    </row>
    <row r="287" spans="3:24" x14ac:dyDescent="0.45">
      <c r="C287" s="204"/>
      <c r="D287" s="205"/>
      <c r="E287" s="202"/>
      <c r="F287" s="202"/>
      <c r="G287" s="206"/>
      <c r="H287" s="206"/>
      <c r="I287" s="202"/>
      <c r="J287" s="219"/>
      <c r="K287" s="202"/>
      <c r="L287" s="206"/>
      <c r="M287" s="206"/>
      <c r="N287" s="202"/>
      <c r="O287" s="202"/>
      <c r="P287" s="205"/>
      <c r="Q287" s="207"/>
      <c r="R287" s="202"/>
      <c r="S287" s="202"/>
      <c r="T287" s="202"/>
      <c r="U287" s="203"/>
      <c r="V287" s="202"/>
      <c r="W287" s="202"/>
      <c r="X287" s="202"/>
    </row>
    <row r="288" spans="3:24" x14ac:dyDescent="0.45">
      <c r="C288" s="204"/>
      <c r="D288" s="205"/>
      <c r="E288" s="202"/>
      <c r="F288" s="202"/>
      <c r="G288" s="206"/>
      <c r="H288" s="206"/>
      <c r="I288" s="202"/>
      <c r="J288" s="219"/>
      <c r="K288" s="202"/>
      <c r="L288" s="206"/>
      <c r="M288" s="206"/>
      <c r="N288" s="202"/>
      <c r="O288" s="202"/>
      <c r="P288" s="205"/>
      <c r="Q288" s="207"/>
      <c r="R288" s="202"/>
      <c r="S288" s="202"/>
      <c r="T288" s="202"/>
      <c r="U288" s="203"/>
      <c r="V288" s="202"/>
      <c r="W288" s="202"/>
      <c r="X288" s="202"/>
    </row>
    <row r="289" spans="3:24" x14ac:dyDescent="0.45">
      <c r="C289" s="204"/>
      <c r="D289" s="205"/>
      <c r="E289" s="202"/>
      <c r="F289" s="202"/>
      <c r="G289" s="206"/>
      <c r="H289" s="206"/>
      <c r="I289" s="202"/>
      <c r="J289" s="219"/>
      <c r="K289" s="202"/>
      <c r="L289" s="206"/>
      <c r="M289" s="206"/>
      <c r="N289" s="202"/>
      <c r="O289" s="202"/>
      <c r="P289" s="205"/>
      <c r="Q289" s="207"/>
      <c r="R289" s="202"/>
      <c r="S289" s="202"/>
      <c r="T289" s="202"/>
      <c r="U289" s="203"/>
      <c r="V289" s="202"/>
      <c r="W289" s="202"/>
      <c r="X289" s="202"/>
    </row>
    <row r="290" spans="3:24" x14ac:dyDescent="0.45">
      <c r="C290" s="204"/>
      <c r="D290" s="205"/>
      <c r="E290" s="202"/>
      <c r="F290" s="202"/>
      <c r="G290" s="206"/>
      <c r="H290" s="206"/>
      <c r="I290" s="202"/>
      <c r="J290" s="219"/>
      <c r="K290" s="202"/>
      <c r="L290" s="206"/>
      <c r="M290" s="206"/>
      <c r="N290" s="202"/>
      <c r="O290" s="202"/>
      <c r="P290" s="205"/>
      <c r="Q290" s="207"/>
      <c r="R290" s="202"/>
      <c r="S290" s="202"/>
      <c r="T290" s="202"/>
      <c r="U290" s="203"/>
      <c r="V290" s="202"/>
      <c r="W290" s="202"/>
      <c r="X290" s="202"/>
    </row>
    <row r="291" spans="3:24" x14ac:dyDescent="0.45">
      <c r="C291" s="204"/>
      <c r="D291" s="205"/>
      <c r="E291" s="202"/>
      <c r="F291" s="202"/>
      <c r="G291" s="206"/>
      <c r="H291" s="206"/>
      <c r="I291" s="202"/>
      <c r="J291" s="219"/>
      <c r="K291" s="202"/>
      <c r="L291" s="206"/>
      <c r="M291" s="206"/>
      <c r="N291" s="202"/>
      <c r="O291" s="202"/>
      <c r="P291" s="205"/>
      <c r="Q291" s="207"/>
      <c r="R291" s="202"/>
      <c r="S291" s="202"/>
      <c r="T291" s="202"/>
      <c r="U291" s="203"/>
      <c r="V291" s="202"/>
      <c r="W291" s="202"/>
      <c r="X291" s="202"/>
    </row>
    <row r="292" spans="3:24" x14ac:dyDescent="0.45">
      <c r="C292" s="204"/>
      <c r="D292" s="205"/>
      <c r="E292" s="202"/>
      <c r="F292" s="202"/>
      <c r="G292" s="206"/>
      <c r="H292" s="206"/>
      <c r="I292" s="202"/>
      <c r="J292" s="219"/>
      <c r="K292" s="202"/>
      <c r="L292" s="206"/>
      <c r="M292" s="206"/>
      <c r="N292" s="202"/>
      <c r="O292" s="202"/>
      <c r="P292" s="205"/>
      <c r="Q292" s="207"/>
      <c r="R292" s="202"/>
      <c r="S292" s="202"/>
      <c r="T292" s="202"/>
      <c r="U292" s="203"/>
      <c r="V292" s="202"/>
      <c r="W292" s="202"/>
      <c r="X292" s="202"/>
    </row>
    <row r="293" spans="3:24" x14ac:dyDescent="0.45">
      <c r="C293" s="204"/>
      <c r="D293" s="205"/>
      <c r="E293" s="202"/>
      <c r="F293" s="202"/>
      <c r="G293" s="206"/>
      <c r="H293" s="206"/>
      <c r="I293" s="202"/>
      <c r="J293" s="219"/>
      <c r="K293" s="202"/>
      <c r="L293" s="206"/>
      <c r="M293" s="206"/>
      <c r="N293" s="202"/>
      <c r="O293" s="202"/>
      <c r="P293" s="205"/>
      <c r="Q293" s="207"/>
      <c r="R293" s="202"/>
      <c r="S293" s="202"/>
      <c r="T293" s="202"/>
      <c r="U293" s="203"/>
      <c r="V293" s="202"/>
      <c r="W293" s="202"/>
      <c r="X293" s="202"/>
    </row>
    <row r="294" spans="3:24" x14ac:dyDescent="0.45">
      <c r="C294" s="204"/>
      <c r="D294" s="205"/>
      <c r="E294" s="202"/>
      <c r="F294" s="202"/>
      <c r="G294" s="206"/>
      <c r="H294" s="206"/>
      <c r="I294" s="202"/>
      <c r="J294" s="219"/>
      <c r="K294" s="202"/>
      <c r="L294" s="206"/>
      <c r="M294" s="206"/>
      <c r="N294" s="202"/>
      <c r="O294" s="202"/>
      <c r="P294" s="205"/>
      <c r="Q294" s="207"/>
      <c r="R294" s="202"/>
      <c r="S294" s="202"/>
      <c r="T294" s="202"/>
      <c r="U294" s="203"/>
      <c r="V294" s="202"/>
      <c r="W294" s="202"/>
      <c r="X294" s="202"/>
    </row>
    <row r="295" spans="3:24" x14ac:dyDescent="0.45">
      <c r="C295" s="204"/>
      <c r="D295" s="205"/>
      <c r="E295" s="202"/>
      <c r="F295" s="202"/>
      <c r="G295" s="206"/>
      <c r="H295" s="206"/>
      <c r="I295" s="202"/>
      <c r="J295" s="219"/>
      <c r="K295" s="202"/>
      <c r="L295" s="206"/>
      <c r="M295" s="206"/>
      <c r="N295" s="202"/>
      <c r="O295" s="202"/>
      <c r="P295" s="205"/>
      <c r="Q295" s="207"/>
      <c r="R295" s="202"/>
      <c r="S295" s="202"/>
      <c r="T295" s="202"/>
      <c r="U295" s="203"/>
      <c r="V295" s="202"/>
      <c r="W295" s="202"/>
      <c r="X295" s="202"/>
    </row>
    <row r="296" spans="3:24" x14ac:dyDescent="0.45">
      <c r="C296" s="204"/>
      <c r="D296" s="205"/>
      <c r="E296" s="202"/>
      <c r="F296" s="202"/>
      <c r="G296" s="206"/>
      <c r="H296" s="206"/>
      <c r="I296" s="202"/>
      <c r="J296" s="219"/>
      <c r="K296" s="202"/>
      <c r="L296" s="206"/>
      <c r="M296" s="206"/>
      <c r="N296" s="202"/>
      <c r="O296" s="202"/>
      <c r="P296" s="205"/>
      <c r="Q296" s="207"/>
      <c r="R296" s="202"/>
      <c r="S296" s="202"/>
      <c r="T296" s="202"/>
      <c r="U296" s="203"/>
      <c r="V296" s="202"/>
      <c r="W296" s="202"/>
      <c r="X296" s="202"/>
    </row>
    <row r="297" spans="3:24" x14ac:dyDescent="0.45">
      <c r="C297" s="204"/>
      <c r="D297" s="205"/>
      <c r="E297" s="202"/>
      <c r="F297" s="202"/>
      <c r="G297" s="206"/>
      <c r="H297" s="206"/>
      <c r="I297" s="202"/>
      <c r="J297" s="219"/>
      <c r="K297" s="202"/>
      <c r="L297" s="206"/>
      <c r="M297" s="206"/>
      <c r="N297" s="202"/>
      <c r="O297" s="202"/>
      <c r="P297" s="205"/>
      <c r="Q297" s="207"/>
      <c r="R297" s="202"/>
      <c r="S297" s="202"/>
      <c r="T297" s="202"/>
      <c r="U297" s="203"/>
      <c r="V297" s="202"/>
      <c r="W297" s="202"/>
      <c r="X297" s="202"/>
    </row>
    <row r="298" spans="3:24" x14ac:dyDescent="0.45">
      <c r="C298" s="204"/>
      <c r="D298" s="205"/>
      <c r="E298" s="202"/>
      <c r="F298" s="202"/>
      <c r="G298" s="206"/>
      <c r="H298" s="206"/>
      <c r="I298" s="202"/>
      <c r="J298" s="219"/>
      <c r="K298" s="202"/>
      <c r="L298" s="206"/>
      <c r="M298" s="206"/>
      <c r="N298" s="202"/>
      <c r="O298" s="202"/>
      <c r="P298" s="205"/>
      <c r="Q298" s="207"/>
      <c r="R298" s="202"/>
      <c r="S298" s="202"/>
      <c r="T298" s="202"/>
      <c r="U298" s="203"/>
      <c r="V298" s="202"/>
      <c r="W298" s="202"/>
      <c r="X298" s="202"/>
    </row>
    <row r="299" spans="3:24" x14ac:dyDescent="0.45">
      <c r="C299" s="204"/>
      <c r="D299" s="205"/>
      <c r="E299" s="202"/>
      <c r="F299" s="202"/>
      <c r="G299" s="206"/>
      <c r="H299" s="206"/>
      <c r="I299" s="202"/>
      <c r="J299" s="219"/>
      <c r="K299" s="202"/>
      <c r="L299" s="206"/>
      <c r="M299" s="206"/>
      <c r="N299" s="202"/>
      <c r="O299" s="202"/>
      <c r="P299" s="205"/>
      <c r="Q299" s="207"/>
      <c r="R299" s="202"/>
      <c r="S299" s="202"/>
      <c r="T299" s="202"/>
      <c r="U299" s="203"/>
      <c r="V299" s="202"/>
      <c r="W299" s="202"/>
      <c r="X299" s="202"/>
    </row>
    <row r="300" spans="3:24" x14ac:dyDescent="0.45">
      <c r="C300" s="204"/>
      <c r="D300" s="205"/>
      <c r="E300" s="202"/>
      <c r="F300" s="202"/>
      <c r="G300" s="206"/>
      <c r="H300" s="206"/>
      <c r="I300" s="202"/>
      <c r="J300" s="219"/>
      <c r="K300" s="202"/>
      <c r="L300" s="206"/>
      <c r="M300" s="206"/>
      <c r="N300" s="202"/>
      <c r="O300" s="202"/>
      <c r="P300" s="205"/>
      <c r="Q300" s="207"/>
      <c r="R300" s="202"/>
      <c r="S300" s="202"/>
      <c r="T300" s="202"/>
      <c r="U300" s="203"/>
      <c r="V300" s="202"/>
      <c r="W300" s="202"/>
      <c r="X300" s="202"/>
    </row>
    <row r="301" spans="3:24" x14ac:dyDescent="0.45">
      <c r="C301" s="204"/>
      <c r="D301" s="205"/>
      <c r="E301" s="202"/>
      <c r="F301" s="202"/>
      <c r="G301" s="206"/>
      <c r="H301" s="206"/>
      <c r="I301" s="202"/>
      <c r="J301" s="219"/>
      <c r="K301" s="202"/>
      <c r="L301" s="206"/>
      <c r="M301" s="206"/>
      <c r="N301" s="202"/>
      <c r="O301" s="202"/>
      <c r="P301" s="205"/>
      <c r="Q301" s="207"/>
      <c r="R301" s="202"/>
      <c r="S301" s="202"/>
      <c r="T301" s="202"/>
      <c r="U301" s="203"/>
      <c r="V301" s="202"/>
      <c r="W301" s="202"/>
      <c r="X301" s="202"/>
    </row>
    <row r="302" spans="3:24" x14ac:dyDescent="0.45">
      <c r="C302" s="204"/>
      <c r="D302" s="205"/>
      <c r="E302" s="202"/>
      <c r="F302" s="202"/>
      <c r="G302" s="206"/>
      <c r="H302" s="206"/>
      <c r="I302" s="202"/>
      <c r="J302" s="219"/>
      <c r="K302" s="202"/>
      <c r="L302" s="206"/>
      <c r="M302" s="206"/>
      <c r="N302" s="202"/>
      <c r="O302" s="202"/>
      <c r="P302" s="205"/>
      <c r="Q302" s="207"/>
      <c r="R302" s="202"/>
      <c r="S302" s="202"/>
      <c r="T302" s="202"/>
      <c r="U302" s="203"/>
      <c r="V302" s="202"/>
      <c r="W302" s="202"/>
      <c r="X302" s="202"/>
    </row>
    <row r="303" spans="3:24" x14ac:dyDescent="0.45">
      <c r="C303" s="204"/>
      <c r="D303" s="205"/>
      <c r="E303" s="202"/>
      <c r="F303" s="202"/>
      <c r="G303" s="206"/>
      <c r="H303" s="206"/>
      <c r="I303" s="202"/>
      <c r="J303" s="219"/>
      <c r="K303" s="202"/>
      <c r="L303" s="206"/>
      <c r="M303" s="206"/>
      <c r="N303" s="202"/>
      <c r="O303" s="202"/>
      <c r="P303" s="205"/>
      <c r="Q303" s="207"/>
      <c r="R303" s="202"/>
      <c r="S303" s="202"/>
      <c r="T303" s="202"/>
      <c r="U303" s="203"/>
      <c r="V303" s="202"/>
      <c r="W303" s="202"/>
      <c r="X303" s="202"/>
    </row>
    <row r="304" spans="3:24" x14ac:dyDescent="0.45">
      <c r="C304" s="204"/>
      <c r="D304" s="205"/>
      <c r="E304" s="202"/>
      <c r="F304" s="202"/>
      <c r="G304" s="206"/>
      <c r="H304" s="206"/>
      <c r="I304" s="202"/>
      <c r="J304" s="219"/>
      <c r="K304" s="202"/>
      <c r="L304" s="206"/>
      <c r="M304" s="206"/>
      <c r="N304" s="202"/>
      <c r="O304" s="202"/>
      <c r="P304" s="205"/>
      <c r="Q304" s="207"/>
      <c r="R304" s="202"/>
      <c r="S304" s="202"/>
      <c r="T304" s="202"/>
      <c r="U304" s="203"/>
      <c r="V304" s="202"/>
      <c r="W304" s="202"/>
      <c r="X304" s="202"/>
    </row>
    <row r="305" spans="3:24" x14ac:dyDescent="0.45">
      <c r="C305" s="204"/>
      <c r="D305" s="205"/>
      <c r="E305" s="202"/>
      <c r="F305" s="202"/>
      <c r="G305" s="206"/>
      <c r="H305" s="206"/>
      <c r="I305" s="202"/>
      <c r="J305" s="219"/>
      <c r="K305" s="202"/>
      <c r="L305" s="206"/>
      <c r="M305" s="206"/>
      <c r="N305" s="202"/>
      <c r="O305" s="202"/>
      <c r="P305" s="205"/>
      <c r="Q305" s="207"/>
      <c r="R305" s="202"/>
      <c r="S305" s="202"/>
      <c r="T305" s="202"/>
      <c r="U305" s="203"/>
      <c r="V305" s="202"/>
      <c r="W305" s="202"/>
      <c r="X305" s="202"/>
    </row>
    <row r="306" spans="3:24" x14ac:dyDescent="0.45">
      <c r="C306" s="204"/>
      <c r="D306" s="205"/>
      <c r="E306" s="202"/>
      <c r="F306" s="202"/>
      <c r="G306" s="206"/>
      <c r="H306" s="206"/>
      <c r="I306" s="202"/>
      <c r="J306" s="219"/>
      <c r="K306" s="202"/>
      <c r="L306" s="206"/>
      <c r="M306" s="206"/>
      <c r="N306" s="202"/>
      <c r="O306" s="202"/>
      <c r="P306" s="205"/>
      <c r="Q306" s="207"/>
      <c r="R306" s="202"/>
      <c r="S306" s="202"/>
      <c r="T306" s="202"/>
      <c r="U306" s="203"/>
      <c r="V306" s="202"/>
      <c r="W306" s="202"/>
      <c r="X306" s="202"/>
    </row>
    <row r="307" spans="3:24" x14ac:dyDescent="0.45">
      <c r="C307" s="204"/>
      <c r="D307" s="205"/>
      <c r="E307" s="202"/>
      <c r="F307" s="202"/>
      <c r="G307" s="206"/>
      <c r="H307" s="206"/>
      <c r="I307" s="202"/>
      <c r="J307" s="219"/>
      <c r="K307" s="202"/>
      <c r="L307" s="206"/>
      <c r="M307" s="206"/>
      <c r="N307" s="202"/>
      <c r="O307" s="202"/>
      <c r="P307" s="205"/>
      <c r="Q307" s="207"/>
      <c r="R307" s="202"/>
      <c r="S307" s="202"/>
      <c r="T307" s="202"/>
      <c r="U307" s="203"/>
      <c r="V307" s="202"/>
      <c r="W307" s="202"/>
      <c r="X307" s="202"/>
    </row>
    <row r="308" spans="3:24" x14ac:dyDescent="0.45">
      <c r="C308" s="204"/>
      <c r="D308" s="205"/>
      <c r="E308" s="202"/>
      <c r="F308" s="202"/>
      <c r="G308" s="206"/>
      <c r="H308" s="206"/>
      <c r="I308" s="202"/>
      <c r="J308" s="219"/>
      <c r="K308" s="202"/>
      <c r="L308" s="206"/>
      <c r="M308" s="206"/>
      <c r="N308" s="202"/>
      <c r="O308" s="202"/>
      <c r="P308" s="205"/>
      <c r="Q308" s="207"/>
      <c r="R308" s="202"/>
      <c r="S308" s="202"/>
      <c r="T308" s="202"/>
      <c r="U308" s="203"/>
      <c r="V308" s="202"/>
      <c r="W308" s="202"/>
      <c r="X308" s="202"/>
    </row>
    <row r="309" spans="3:24" x14ac:dyDescent="0.45">
      <c r="C309" s="204"/>
      <c r="D309" s="205"/>
      <c r="E309" s="202"/>
      <c r="F309" s="202"/>
      <c r="G309" s="206"/>
      <c r="H309" s="206"/>
      <c r="I309" s="202"/>
      <c r="J309" s="219"/>
      <c r="K309" s="202"/>
      <c r="L309" s="206"/>
      <c r="M309" s="206"/>
      <c r="N309" s="202"/>
      <c r="O309" s="202"/>
      <c r="P309" s="205"/>
      <c r="Q309" s="207"/>
      <c r="R309" s="202"/>
      <c r="S309" s="202"/>
      <c r="T309" s="202"/>
      <c r="U309" s="203"/>
      <c r="V309" s="202"/>
      <c r="W309" s="202"/>
      <c r="X309" s="202"/>
    </row>
    <row r="310" spans="3:24" x14ac:dyDescent="0.45">
      <c r="C310" s="204"/>
      <c r="D310" s="205"/>
      <c r="E310" s="202"/>
      <c r="F310" s="202"/>
      <c r="G310" s="206"/>
      <c r="H310" s="206"/>
      <c r="I310" s="202"/>
      <c r="J310" s="219"/>
      <c r="K310" s="202"/>
      <c r="L310" s="206"/>
      <c r="M310" s="206"/>
      <c r="N310" s="202"/>
      <c r="O310" s="202"/>
      <c r="P310" s="205"/>
      <c r="Q310" s="207"/>
      <c r="R310" s="202"/>
      <c r="S310" s="202"/>
      <c r="T310" s="202"/>
      <c r="U310" s="203"/>
      <c r="V310" s="202"/>
      <c r="W310" s="202"/>
      <c r="X310" s="202"/>
    </row>
    <row r="311" spans="3:24" x14ac:dyDescent="0.45">
      <c r="C311" s="204"/>
      <c r="D311" s="205"/>
      <c r="E311" s="202"/>
      <c r="F311" s="202"/>
      <c r="G311" s="206"/>
      <c r="H311" s="206"/>
      <c r="I311" s="202"/>
      <c r="J311" s="219"/>
      <c r="K311" s="202"/>
      <c r="L311" s="206"/>
      <c r="M311" s="206"/>
      <c r="N311" s="202"/>
      <c r="O311" s="202"/>
      <c r="P311" s="205"/>
      <c r="Q311" s="207"/>
      <c r="R311" s="202"/>
      <c r="S311" s="202"/>
      <c r="T311" s="202"/>
      <c r="U311" s="203"/>
      <c r="V311" s="202"/>
      <c r="W311" s="202"/>
      <c r="X311" s="202"/>
    </row>
    <row r="312" spans="3:24" x14ac:dyDescent="0.45">
      <c r="C312" s="204"/>
      <c r="D312" s="205"/>
      <c r="E312" s="202"/>
      <c r="F312" s="202"/>
      <c r="G312" s="206"/>
      <c r="H312" s="206"/>
      <c r="I312" s="202"/>
      <c r="J312" s="219"/>
      <c r="K312" s="202"/>
      <c r="L312" s="206"/>
      <c r="M312" s="206"/>
      <c r="N312" s="202"/>
      <c r="O312" s="202"/>
      <c r="P312" s="205"/>
      <c r="Q312" s="207"/>
      <c r="R312" s="202"/>
      <c r="S312" s="202"/>
      <c r="T312" s="202"/>
      <c r="U312" s="203"/>
      <c r="V312" s="202"/>
      <c r="W312" s="202"/>
      <c r="X312" s="202"/>
    </row>
    <row r="313" spans="3:24" x14ac:dyDescent="0.45">
      <c r="C313" s="204"/>
      <c r="D313" s="205"/>
      <c r="E313" s="202"/>
      <c r="F313" s="202"/>
      <c r="G313" s="206"/>
      <c r="H313" s="206"/>
      <c r="I313" s="202"/>
      <c r="J313" s="219"/>
      <c r="K313" s="202"/>
      <c r="L313" s="206"/>
      <c r="M313" s="206"/>
      <c r="N313" s="202"/>
      <c r="O313" s="202"/>
      <c r="P313" s="205"/>
      <c r="Q313" s="207"/>
      <c r="R313" s="202"/>
      <c r="S313" s="202"/>
      <c r="T313" s="202"/>
      <c r="U313" s="203"/>
      <c r="V313" s="202"/>
      <c r="W313" s="202"/>
      <c r="X313" s="202"/>
    </row>
    <row r="314" spans="3:24" x14ac:dyDescent="0.45">
      <c r="C314" s="204"/>
      <c r="D314" s="205"/>
      <c r="E314" s="202"/>
      <c r="F314" s="202"/>
      <c r="G314" s="206"/>
      <c r="H314" s="206"/>
      <c r="I314" s="202"/>
      <c r="J314" s="219"/>
      <c r="K314" s="202"/>
      <c r="L314" s="206"/>
      <c r="M314" s="206"/>
      <c r="N314" s="202"/>
      <c r="O314" s="202"/>
      <c r="P314" s="205"/>
      <c r="Q314" s="207"/>
      <c r="R314" s="202"/>
      <c r="S314" s="202"/>
      <c r="T314" s="202"/>
      <c r="U314" s="203"/>
      <c r="V314" s="202"/>
      <c r="W314" s="202"/>
      <c r="X314" s="202"/>
    </row>
    <row r="315" spans="3:24" x14ac:dyDescent="0.45">
      <c r="C315" s="204"/>
      <c r="D315" s="205"/>
      <c r="E315" s="202"/>
      <c r="F315" s="202"/>
      <c r="G315" s="206"/>
      <c r="H315" s="206"/>
      <c r="I315" s="202"/>
      <c r="J315" s="219"/>
      <c r="K315" s="202"/>
      <c r="L315" s="206"/>
      <c r="M315" s="206"/>
      <c r="N315" s="202"/>
      <c r="O315" s="202"/>
      <c r="P315" s="205"/>
      <c r="Q315" s="207"/>
      <c r="R315" s="202"/>
      <c r="S315" s="202"/>
      <c r="T315" s="202"/>
      <c r="U315" s="203"/>
      <c r="V315" s="202"/>
      <c r="W315" s="202"/>
      <c r="X315" s="202"/>
    </row>
    <row r="316" spans="3:24" x14ac:dyDescent="0.45">
      <c r="C316" s="204"/>
      <c r="D316" s="205"/>
      <c r="E316" s="202"/>
      <c r="F316" s="202"/>
      <c r="G316" s="206"/>
      <c r="H316" s="206"/>
      <c r="I316" s="202"/>
      <c r="J316" s="219"/>
      <c r="K316" s="202"/>
      <c r="L316" s="206"/>
      <c r="M316" s="206"/>
      <c r="N316" s="202"/>
      <c r="O316" s="202"/>
      <c r="P316" s="205"/>
      <c r="Q316" s="207"/>
      <c r="R316" s="202"/>
      <c r="S316" s="202"/>
      <c r="T316" s="202"/>
      <c r="U316" s="203"/>
      <c r="V316" s="202"/>
      <c r="W316" s="202"/>
      <c r="X316" s="202"/>
    </row>
    <row r="317" spans="3:24" x14ac:dyDescent="0.45">
      <c r="C317" s="204"/>
      <c r="D317" s="205"/>
      <c r="E317" s="202"/>
      <c r="F317" s="202"/>
      <c r="G317" s="206"/>
      <c r="H317" s="206"/>
      <c r="I317" s="202"/>
      <c r="J317" s="219"/>
      <c r="K317" s="202"/>
      <c r="L317" s="206"/>
      <c r="M317" s="206"/>
      <c r="N317" s="202"/>
      <c r="O317" s="202"/>
      <c r="P317" s="205"/>
      <c r="Q317" s="207"/>
      <c r="R317" s="202"/>
      <c r="S317" s="202"/>
      <c r="T317" s="202"/>
      <c r="U317" s="203"/>
      <c r="V317" s="202"/>
      <c r="W317" s="202"/>
      <c r="X317" s="202"/>
    </row>
    <row r="318" spans="3:24" x14ac:dyDescent="0.45">
      <c r="C318" s="204"/>
      <c r="D318" s="205"/>
      <c r="E318" s="202"/>
      <c r="F318" s="202"/>
      <c r="G318" s="206"/>
      <c r="H318" s="206"/>
      <c r="I318" s="202"/>
      <c r="J318" s="219"/>
      <c r="K318" s="202"/>
      <c r="L318" s="206"/>
      <c r="M318" s="206"/>
      <c r="N318" s="202"/>
      <c r="O318" s="202"/>
      <c r="P318" s="205"/>
      <c r="Q318" s="207"/>
      <c r="R318" s="202"/>
      <c r="S318" s="202"/>
      <c r="T318" s="202"/>
      <c r="U318" s="203"/>
      <c r="V318" s="202"/>
      <c r="W318" s="202"/>
      <c r="X318" s="202"/>
    </row>
    <row r="319" spans="3:24" x14ac:dyDescent="0.45">
      <c r="C319" s="204"/>
      <c r="D319" s="205"/>
      <c r="E319" s="202"/>
      <c r="F319" s="202"/>
      <c r="G319" s="206"/>
      <c r="H319" s="206"/>
      <c r="I319" s="202"/>
      <c r="J319" s="219"/>
      <c r="K319" s="202"/>
      <c r="L319" s="206"/>
      <c r="M319" s="206"/>
      <c r="N319" s="202"/>
      <c r="O319" s="202"/>
      <c r="P319" s="205"/>
      <c r="Q319" s="207"/>
      <c r="R319" s="202"/>
      <c r="S319" s="202"/>
      <c r="T319" s="202"/>
      <c r="U319" s="203"/>
      <c r="V319" s="202"/>
      <c r="W319" s="202"/>
      <c r="X319" s="202"/>
    </row>
    <row r="320" spans="3:24" x14ac:dyDescent="0.45">
      <c r="C320" s="204"/>
      <c r="D320" s="205"/>
      <c r="E320" s="202"/>
      <c r="F320" s="202"/>
      <c r="G320" s="206"/>
      <c r="H320" s="206"/>
      <c r="I320" s="202"/>
      <c r="J320" s="219"/>
      <c r="K320" s="202"/>
      <c r="L320" s="206"/>
      <c r="M320" s="206"/>
      <c r="N320" s="202"/>
      <c r="O320" s="202"/>
      <c r="P320" s="205"/>
      <c r="Q320" s="207"/>
      <c r="R320" s="202"/>
      <c r="S320" s="202"/>
      <c r="T320" s="202"/>
      <c r="U320" s="203"/>
      <c r="V320" s="202"/>
      <c r="W320" s="202"/>
      <c r="X320" s="202"/>
    </row>
    <row r="321" spans="3:24" x14ac:dyDescent="0.45">
      <c r="C321" s="204"/>
      <c r="D321" s="205"/>
      <c r="E321" s="202"/>
      <c r="F321" s="202"/>
      <c r="G321" s="206"/>
      <c r="H321" s="206"/>
      <c r="I321" s="202"/>
      <c r="J321" s="219"/>
      <c r="K321" s="202"/>
      <c r="L321" s="206"/>
      <c r="M321" s="206"/>
      <c r="N321" s="202"/>
      <c r="O321" s="202"/>
      <c r="P321" s="205"/>
      <c r="Q321" s="207"/>
      <c r="R321" s="202"/>
      <c r="S321" s="202"/>
      <c r="T321" s="202"/>
      <c r="U321" s="203"/>
      <c r="V321" s="202"/>
      <c r="W321" s="202"/>
      <c r="X321" s="202"/>
    </row>
    <row r="322" spans="3:24" x14ac:dyDescent="0.45">
      <c r="C322" s="204"/>
      <c r="D322" s="205"/>
      <c r="E322" s="202"/>
      <c r="F322" s="202"/>
      <c r="G322" s="206"/>
      <c r="H322" s="206"/>
      <c r="I322" s="202"/>
      <c r="J322" s="219"/>
      <c r="K322" s="202"/>
      <c r="L322" s="206"/>
      <c r="M322" s="206"/>
      <c r="N322" s="202"/>
      <c r="O322" s="202"/>
      <c r="P322" s="205"/>
      <c r="Q322" s="207"/>
      <c r="R322" s="202"/>
      <c r="S322" s="202"/>
      <c r="T322" s="202"/>
      <c r="U322" s="203"/>
      <c r="V322" s="202"/>
      <c r="W322" s="202"/>
      <c r="X322" s="202"/>
    </row>
    <row r="323" spans="3:24" x14ac:dyDescent="0.45">
      <c r="C323" s="204"/>
      <c r="D323" s="205"/>
      <c r="E323" s="202"/>
      <c r="F323" s="202"/>
      <c r="G323" s="206"/>
      <c r="H323" s="206"/>
      <c r="I323" s="202"/>
      <c r="J323" s="219"/>
      <c r="K323" s="202"/>
      <c r="L323" s="206"/>
      <c r="M323" s="206"/>
      <c r="N323" s="202"/>
      <c r="O323" s="202"/>
      <c r="P323" s="205"/>
      <c r="Q323" s="207"/>
      <c r="R323" s="202"/>
      <c r="S323" s="202"/>
      <c r="T323" s="202"/>
      <c r="U323" s="203"/>
      <c r="V323" s="202"/>
      <c r="W323" s="202"/>
      <c r="X323" s="202"/>
    </row>
    <row r="324" spans="3:24" x14ac:dyDescent="0.45">
      <c r="C324" s="204"/>
      <c r="D324" s="205"/>
      <c r="E324" s="202"/>
      <c r="F324" s="202"/>
      <c r="G324" s="206"/>
      <c r="H324" s="206"/>
      <c r="I324" s="202"/>
      <c r="J324" s="219"/>
      <c r="K324" s="202"/>
      <c r="L324" s="206"/>
      <c r="M324" s="206"/>
      <c r="N324" s="202"/>
      <c r="O324" s="202"/>
      <c r="P324" s="205"/>
      <c r="Q324" s="207"/>
      <c r="R324" s="202"/>
      <c r="S324" s="202"/>
      <c r="T324" s="202"/>
      <c r="U324" s="203"/>
      <c r="V324" s="202"/>
      <c r="W324" s="202"/>
      <c r="X324" s="202"/>
    </row>
    <row r="325" spans="3:24" x14ac:dyDescent="0.45">
      <c r="C325" s="204"/>
      <c r="D325" s="205"/>
      <c r="E325" s="202"/>
      <c r="F325" s="202"/>
      <c r="G325" s="206"/>
      <c r="H325" s="206"/>
      <c r="I325" s="202"/>
      <c r="J325" s="219"/>
      <c r="K325" s="202"/>
      <c r="L325" s="206"/>
      <c r="M325" s="206"/>
      <c r="N325" s="202"/>
      <c r="O325" s="202"/>
      <c r="P325" s="205"/>
      <c r="Q325" s="207"/>
      <c r="R325" s="202"/>
      <c r="S325" s="202"/>
      <c r="T325" s="202"/>
      <c r="U325" s="203"/>
      <c r="V325" s="202"/>
      <c r="W325" s="202"/>
      <c r="X325" s="202"/>
    </row>
    <row r="326" spans="3:24" x14ac:dyDescent="0.45">
      <c r="C326" s="204"/>
      <c r="D326" s="205"/>
      <c r="E326" s="202"/>
      <c r="F326" s="202"/>
      <c r="G326" s="206"/>
      <c r="H326" s="206"/>
      <c r="I326" s="202"/>
      <c r="J326" s="219"/>
      <c r="K326" s="202"/>
      <c r="L326" s="206"/>
      <c r="M326" s="206"/>
      <c r="N326" s="202"/>
      <c r="O326" s="202"/>
      <c r="P326" s="205"/>
      <c r="Q326" s="207"/>
      <c r="R326" s="202"/>
      <c r="S326" s="202"/>
      <c r="T326" s="202"/>
      <c r="U326" s="203"/>
      <c r="V326" s="202"/>
      <c r="W326" s="202"/>
      <c r="X326" s="202"/>
    </row>
    <row r="327" spans="3:24" x14ac:dyDescent="0.45">
      <c r="C327" s="204"/>
      <c r="D327" s="205"/>
      <c r="E327" s="202"/>
      <c r="F327" s="202"/>
      <c r="G327" s="206"/>
      <c r="H327" s="206"/>
      <c r="I327" s="202"/>
      <c r="J327" s="219"/>
      <c r="K327" s="202"/>
      <c r="L327" s="206"/>
      <c r="M327" s="206"/>
      <c r="N327" s="202"/>
      <c r="O327" s="202"/>
      <c r="P327" s="205"/>
      <c r="Q327" s="207"/>
      <c r="R327" s="202"/>
      <c r="S327" s="202"/>
      <c r="T327" s="202"/>
      <c r="U327" s="203"/>
      <c r="V327" s="202"/>
      <c r="W327" s="202"/>
      <c r="X327" s="202"/>
    </row>
    <row r="328" spans="3:24" x14ac:dyDescent="0.45">
      <c r="C328" s="204"/>
      <c r="D328" s="205"/>
      <c r="E328" s="202"/>
      <c r="F328" s="202"/>
      <c r="G328" s="206"/>
      <c r="H328" s="206"/>
      <c r="I328" s="202"/>
      <c r="J328" s="219"/>
      <c r="K328" s="202"/>
      <c r="L328" s="206"/>
      <c r="M328" s="206"/>
      <c r="N328" s="202"/>
      <c r="O328" s="202"/>
      <c r="P328" s="205"/>
      <c r="Q328" s="207"/>
      <c r="R328" s="202"/>
      <c r="S328" s="202"/>
      <c r="T328" s="202"/>
      <c r="U328" s="203"/>
      <c r="V328" s="202"/>
      <c r="W328" s="202"/>
      <c r="X328" s="202"/>
    </row>
    <row r="329" spans="3:24" x14ac:dyDescent="0.45">
      <c r="C329" s="204"/>
      <c r="D329" s="205"/>
      <c r="E329" s="202"/>
      <c r="F329" s="202"/>
      <c r="G329" s="206"/>
      <c r="H329" s="206"/>
      <c r="I329" s="202"/>
      <c r="J329" s="219"/>
      <c r="K329" s="202"/>
      <c r="L329" s="206"/>
      <c r="M329" s="206"/>
      <c r="N329" s="202"/>
      <c r="O329" s="202"/>
      <c r="P329" s="205"/>
      <c r="Q329" s="207"/>
      <c r="R329" s="202"/>
      <c r="S329" s="202"/>
      <c r="T329" s="202"/>
      <c r="U329" s="203"/>
      <c r="V329" s="202"/>
      <c r="W329" s="202"/>
      <c r="X329" s="202"/>
    </row>
    <row r="330" spans="3:24" x14ac:dyDescent="0.45">
      <c r="C330" s="204"/>
      <c r="D330" s="205"/>
      <c r="E330" s="202"/>
      <c r="F330" s="202"/>
      <c r="G330" s="206"/>
      <c r="H330" s="206"/>
      <c r="I330" s="202"/>
      <c r="J330" s="219"/>
      <c r="K330" s="202"/>
      <c r="L330" s="206"/>
      <c r="M330" s="206"/>
      <c r="N330" s="202"/>
      <c r="O330" s="202"/>
      <c r="P330" s="205"/>
      <c r="Q330" s="207"/>
      <c r="R330" s="202"/>
      <c r="S330" s="202"/>
      <c r="T330" s="202"/>
      <c r="U330" s="203"/>
      <c r="V330" s="202"/>
      <c r="W330" s="202"/>
      <c r="X330" s="202"/>
    </row>
    <row r="331" spans="3:24" x14ac:dyDescent="0.45">
      <c r="C331" s="204"/>
      <c r="D331" s="205"/>
      <c r="E331" s="202"/>
      <c r="F331" s="202"/>
      <c r="G331" s="206"/>
      <c r="H331" s="206"/>
      <c r="I331" s="202"/>
      <c r="J331" s="219"/>
      <c r="K331" s="202"/>
      <c r="L331" s="206"/>
      <c r="M331" s="206"/>
      <c r="N331" s="202"/>
      <c r="O331" s="202"/>
      <c r="P331" s="205"/>
      <c r="Q331" s="207"/>
      <c r="R331" s="202"/>
      <c r="S331" s="202"/>
      <c r="T331" s="202"/>
      <c r="U331" s="203"/>
      <c r="V331" s="202"/>
      <c r="W331" s="202"/>
      <c r="X331" s="202"/>
    </row>
    <row r="332" spans="3:24" x14ac:dyDescent="0.45">
      <c r="C332" s="204"/>
      <c r="D332" s="205"/>
      <c r="E332" s="202"/>
      <c r="F332" s="202"/>
      <c r="G332" s="206"/>
      <c r="H332" s="206"/>
      <c r="I332" s="202"/>
      <c r="J332" s="219"/>
      <c r="K332" s="202"/>
      <c r="L332" s="206"/>
      <c r="M332" s="206"/>
      <c r="N332" s="202"/>
      <c r="O332" s="202"/>
      <c r="P332" s="205"/>
      <c r="Q332" s="207"/>
      <c r="R332" s="202"/>
      <c r="S332" s="202"/>
      <c r="T332" s="202"/>
      <c r="U332" s="203"/>
      <c r="V332" s="202"/>
      <c r="W332" s="202"/>
      <c r="X332" s="202"/>
    </row>
    <row r="333" spans="3:24" x14ac:dyDescent="0.45">
      <c r="C333" s="204"/>
      <c r="D333" s="205"/>
      <c r="E333" s="202"/>
      <c r="F333" s="202"/>
      <c r="G333" s="206"/>
      <c r="H333" s="206"/>
      <c r="I333" s="202"/>
      <c r="J333" s="219"/>
      <c r="K333" s="202"/>
      <c r="L333" s="206"/>
      <c r="M333" s="206"/>
      <c r="N333" s="202"/>
      <c r="O333" s="202"/>
      <c r="P333" s="205"/>
      <c r="Q333" s="207"/>
      <c r="R333" s="202"/>
      <c r="S333" s="202"/>
      <c r="T333" s="202"/>
      <c r="U333" s="203"/>
      <c r="V333" s="202"/>
      <c r="W333" s="202"/>
      <c r="X333" s="202"/>
    </row>
    <row r="334" spans="3:24" x14ac:dyDescent="0.45">
      <c r="C334" s="204"/>
      <c r="D334" s="205"/>
      <c r="E334" s="202"/>
      <c r="F334" s="202"/>
      <c r="G334" s="206"/>
      <c r="H334" s="206"/>
      <c r="I334" s="202"/>
      <c r="J334" s="219"/>
      <c r="K334" s="202"/>
      <c r="L334" s="206"/>
      <c r="M334" s="206"/>
      <c r="N334" s="202"/>
      <c r="O334" s="202"/>
      <c r="P334" s="205"/>
      <c r="Q334" s="207"/>
      <c r="R334" s="202"/>
      <c r="S334" s="202"/>
      <c r="T334" s="202"/>
      <c r="U334" s="203"/>
      <c r="V334" s="202"/>
      <c r="W334" s="202"/>
      <c r="X334" s="202"/>
    </row>
    <row r="335" spans="3:24" x14ac:dyDescent="0.45">
      <c r="C335" s="204"/>
      <c r="D335" s="205"/>
      <c r="E335" s="202"/>
      <c r="F335" s="202"/>
      <c r="G335" s="206"/>
      <c r="H335" s="206"/>
      <c r="I335" s="202"/>
      <c r="J335" s="219"/>
      <c r="K335" s="202"/>
      <c r="L335" s="206"/>
      <c r="M335" s="206"/>
      <c r="N335" s="202"/>
      <c r="O335" s="202"/>
      <c r="P335" s="205"/>
      <c r="Q335" s="207"/>
      <c r="R335" s="202"/>
      <c r="S335" s="202"/>
      <c r="T335" s="202"/>
      <c r="U335" s="203"/>
      <c r="V335" s="202"/>
      <c r="W335" s="202"/>
      <c r="X335" s="202"/>
    </row>
    <row r="336" spans="3:24" x14ac:dyDescent="0.45">
      <c r="C336" s="204"/>
      <c r="D336" s="205"/>
      <c r="E336" s="202"/>
      <c r="F336" s="202"/>
      <c r="G336" s="206"/>
      <c r="H336" s="206"/>
      <c r="I336" s="202"/>
      <c r="J336" s="219"/>
      <c r="K336" s="202"/>
      <c r="L336" s="206"/>
      <c r="M336" s="206"/>
      <c r="N336" s="202"/>
      <c r="O336" s="202"/>
      <c r="P336" s="205"/>
      <c r="Q336" s="207"/>
      <c r="R336" s="202"/>
      <c r="S336" s="202"/>
      <c r="T336" s="202"/>
      <c r="U336" s="203"/>
      <c r="V336" s="202"/>
      <c r="W336" s="202"/>
      <c r="X336" s="202"/>
    </row>
    <row r="337" spans="3:24" x14ac:dyDescent="0.45">
      <c r="C337" s="204"/>
      <c r="D337" s="205"/>
      <c r="E337" s="202"/>
      <c r="F337" s="202"/>
      <c r="G337" s="206"/>
      <c r="H337" s="206"/>
      <c r="I337" s="202"/>
      <c r="J337" s="219"/>
      <c r="K337" s="202"/>
      <c r="L337" s="206"/>
      <c r="M337" s="206"/>
      <c r="N337" s="202"/>
      <c r="O337" s="202"/>
      <c r="P337" s="205"/>
      <c r="Q337" s="207"/>
      <c r="R337" s="202"/>
      <c r="S337" s="202"/>
      <c r="T337" s="202"/>
      <c r="U337" s="203"/>
      <c r="V337" s="202"/>
      <c r="W337" s="202"/>
      <c r="X337" s="202"/>
    </row>
    <row r="338" spans="3:24" x14ac:dyDescent="0.45">
      <c r="C338" s="204"/>
      <c r="D338" s="205"/>
      <c r="E338" s="202"/>
      <c r="F338" s="202"/>
      <c r="G338" s="206"/>
      <c r="H338" s="206"/>
      <c r="I338" s="202"/>
      <c r="J338" s="219"/>
      <c r="K338" s="202"/>
      <c r="L338" s="206"/>
      <c r="M338" s="206"/>
      <c r="N338" s="202"/>
      <c r="O338" s="202"/>
      <c r="P338" s="205"/>
      <c r="Q338" s="207"/>
      <c r="R338" s="202"/>
      <c r="S338" s="202"/>
      <c r="T338" s="202"/>
      <c r="U338" s="203"/>
      <c r="V338" s="202"/>
      <c r="W338" s="202"/>
      <c r="X338" s="202"/>
    </row>
    <row r="339" spans="3:24" x14ac:dyDescent="0.45">
      <c r="C339" s="204"/>
      <c r="D339" s="205"/>
      <c r="E339" s="202"/>
      <c r="F339" s="202"/>
      <c r="G339" s="206"/>
      <c r="H339" s="206"/>
      <c r="I339" s="202"/>
      <c r="J339" s="219"/>
      <c r="K339" s="202"/>
      <c r="L339" s="206"/>
      <c r="M339" s="206"/>
      <c r="N339" s="202"/>
      <c r="O339" s="202"/>
      <c r="P339" s="205"/>
      <c r="Q339" s="207"/>
      <c r="R339" s="202"/>
      <c r="S339" s="202"/>
      <c r="T339" s="202"/>
      <c r="U339" s="203"/>
      <c r="V339" s="202"/>
      <c r="W339" s="202"/>
      <c r="X339" s="202"/>
    </row>
    <row r="340" spans="3:24" x14ac:dyDescent="0.45">
      <c r="C340" s="204"/>
      <c r="D340" s="205"/>
      <c r="E340" s="202"/>
      <c r="F340" s="202"/>
      <c r="G340" s="206"/>
      <c r="H340" s="206"/>
      <c r="I340" s="202"/>
      <c r="J340" s="219"/>
      <c r="K340" s="202"/>
      <c r="L340" s="206"/>
      <c r="M340" s="206"/>
      <c r="N340" s="202"/>
      <c r="O340" s="202"/>
      <c r="P340" s="205"/>
      <c r="Q340" s="207"/>
      <c r="R340" s="202"/>
      <c r="S340" s="202"/>
      <c r="T340" s="202"/>
      <c r="U340" s="203"/>
      <c r="V340" s="202"/>
      <c r="W340" s="202"/>
      <c r="X340" s="202"/>
    </row>
    <row r="341" spans="3:24" x14ac:dyDescent="0.45">
      <c r="C341" s="204"/>
      <c r="D341" s="205"/>
      <c r="E341" s="202"/>
      <c r="F341" s="202"/>
      <c r="G341" s="206"/>
      <c r="H341" s="206"/>
      <c r="I341" s="202"/>
      <c r="J341" s="219"/>
      <c r="K341" s="202"/>
      <c r="L341" s="206"/>
      <c r="M341" s="206"/>
      <c r="N341" s="202"/>
      <c r="O341" s="202"/>
      <c r="P341" s="205"/>
      <c r="Q341" s="207"/>
      <c r="R341" s="202"/>
      <c r="S341" s="202"/>
      <c r="T341" s="202"/>
      <c r="U341" s="203"/>
      <c r="V341" s="202"/>
      <c r="W341" s="202"/>
      <c r="X341" s="202"/>
    </row>
    <row r="342" spans="3:24" x14ac:dyDescent="0.45">
      <c r="C342" s="204"/>
      <c r="D342" s="205"/>
      <c r="E342" s="202"/>
      <c r="F342" s="202"/>
      <c r="G342" s="206"/>
      <c r="H342" s="206"/>
      <c r="I342" s="202"/>
      <c r="J342" s="219"/>
      <c r="K342" s="202"/>
      <c r="L342" s="206"/>
      <c r="M342" s="206"/>
      <c r="N342" s="202"/>
      <c r="O342" s="202"/>
      <c r="P342" s="205"/>
      <c r="Q342" s="207"/>
      <c r="R342" s="202"/>
      <c r="S342" s="202"/>
      <c r="T342" s="202"/>
      <c r="U342" s="203"/>
      <c r="V342" s="202"/>
      <c r="W342" s="202"/>
      <c r="X342" s="202"/>
    </row>
    <row r="343" spans="3:24" x14ac:dyDescent="0.45">
      <c r="C343" s="204"/>
      <c r="D343" s="205"/>
      <c r="E343" s="202"/>
      <c r="F343" s="202"/>
      <c r="G343" s="206"/>
      <c r="H343" s="206"/>
      <c r="I343" s="202"/>
      <c r="J343" s="219"/>
      <c r="K343" s="202"/>
      <c r="L343" s="206"/>
      <c r="M343" s="206"/>
      <c r="N343" s="202"/>
      <c r="O343" s="202"/>
      <c r="P343" s="205"/>
      <c r="Q343" s="207"/>
      <c r="R343" s="202"/>
      <c r="S343" s="202"/>
      <c r="T343" s="202"/>
      <c r="U343" s="203"/>
      <c r="V343" s="202"/>
      <c r="W343" s="202"/>
      <c r="X343" s="202"/>
    </row>
    <row r="344" spans="3:24" x14ac:dyDescent="0.45">
      <c r="C344" s="204"/>
      <c r="D344" s="205"/>
      <c r="E344" s="202"/>
      <c r="F344" s="202"/>
      <c r="G344" s="206"/>
      <c r="H344" s="206"/>
      <c r="I344" s="202"/>
      <c r="J344" s="219"/>
      <c r="K344" s="202"/>
      <c r="L344" s="206"/>
      <c r="M344" s="206"/>
      <c r="N344" s="202"/>
      <c r="O344" s="202"/>
      <c r="P344" s="205"/>
      <c r="Q344" s="207"/>
      <c r="R344" s="202"/>
      <c r="S344" s="202"/>
      <c r="T344" s="202"/>
      <c r="U344" s="203"/>
      <c r="V344" s="202"/>
      <c r="W344" s="202"/>
      <c r="X344" s="202"/>
    </row>
    <row r="345" spans="3:24" x14ac:dyDescent="0.45">
      <c r="C345" s="204"/>
      <c r="D345" s="205"/>
      <c r="E345" s="202"/>
      <c r="F345" s="202"/>
      <c r="G345" s="206"/>
      <c r="H345" s="206"/>
      <c r="I345" s="202"/>
      <c r="J345" s="219"/>
      <c r="K345" s="202"/>
      <c r="L345" s="206"/>
      <c r="M345" s="206"/>
      <c r="N345" s="202"/>
      <c r="O345" s="202"/>
      <c r="P345" s="205"/>
      <c r="Q345" s="207"/>
      <c r="R345" s="202"/>
      <c r="S345" s="202"/>
      <c r="T345" s="202"/>
      <c r="U345" s="203"/>
      <c r="V345" s="202"/>
      <c r="W345" s="202"/>
      <c r="X345" s="202"/>
    </row>
    <row r="346" spans="3:24" x14ac:dyDescent="0.45">
      <c r="C346" s="204"/>
      <c r="D346" s="205"/>
      <c r="E346" s="202"/>
      <c r="F346" s="202"/>
      <c r="G346" s="206"/>
      <c r="H346" s="206"/>
      <c r="I346" s="202"/>
      <c r="J346" s="219"/>
      <c r="K346" s="202"/>
      <c r="L346" s="206"/>
      <c r="M346" s="206"/>
      <c r="N346" s="202"/>
      <c r="O346" s="202"/>
      <c r="P346" s="205"/>
      <c r="Q346" s="207"/>
      <c r="R346" s="202"/>
      <c r="S346" s="202"/>
      <c r="T346" s="202"/>
      <c r="U346" s="203"/>
      <c r="V346" s="202"/>
      <c r="W346" s="202"/>
      <c r="X346" s="202"/>
    </row>
    <row r="347" spans="3:24" x14ac:dyDescent="0.45">
      <c r="C347" s="204"/>
      <c r="D347" s="205"/>
      <c r="E347" s="202"/>
      <c r="F347" s="202"/>
      <c r="G347" s="206"/>
      <c r="H347" s="206"/>
      <c r="I347" s="202"/>
      <c r="J347" s="219"/>
      <c r="K347" s="202"/>
      <c r="L347" s="206"/>
      <c r="M347" s="206"/>
      <c r="N347" s="202"/>
      <c r="O347" s="202"/>
      <c r="P347" s="205"/>
      <c r="Q347" s="207"/>
      <c r="R347" s="202"/>
      <c r="S347" s="202"/>
      <c r="T347" s="202"/>
      <c r="U347" s="203"/>
      <c r="V347" s="202"/>
      <c r="W347" s="202"/>
      <c r="X347" s="202"/>
    </row>
    <row r="348" spans="3:24" x14ac:dyDescent="0.45">
      <c r="C348" s="204"/>
      <c r="D348" s="205"/>
      <c r="E348" s="202"/>
      <c r="F348" s="202"/>
      <c r="G348" s="206"/>
      <c r="H348" s="206"/>
      <c r="I348" s="202"/>
      <c r="J348" s="219"/>
      <c r="K348" s="202"/>
      <c r="L348" s="206"/>
      <c r="M348" s="206"/>
      <c r="N348" s="202"/>
      <c r="O348" s="202"/>
      <c r="P348" s="205"/>
      <c r="Q348" s="207"/>
      <c r="R348" s="202"/>
      <c r="S348" s="202"/>
      <c r="T348" s="202"/>
      <c r="U348" s="203"/>
      <c r="V348" s="202"/>
      <c r="W348" s="202"/>
      <c r="X348" s="202"/>
    </row>
    <row r="349" spans="3:24" x14ac:dyDescent="0.45">
      <c r="C349" s="204"/>
      <c r="D349" s="205"/>
      <c r="E349" s="202"/>
      <c r="F349" s="202"/>
      <c r="G349" s="206"/>
      <c r="H349" s="206"/>
      <c r="I349" s="202"/>
      <c r="J349" s="219"/>
      <c r="K349" s="202"/>
      <c r="L349" s="206"/>
      <c r="M349" s="206"/>
      <c r="N349" s="202"/>
      <c r="O349" s="202"/>
      <c r="P349" s="205"/>
      <c r="Q349" s="207"/>
      <c r="R349" s="202"/>
      <c r="S349" s="202"/>
      <c r="T349" s="202"/>
      <c r="U349" s="203"/>
      <c r="V349" s="202"/>
      <c r="W349" s="202"/>
      <c r="X349" s="202"/>
    </row>
    <row r="350" spans="3:24" x14ac:dyDescent="0.45">
      <c r="C350" s="204"/>
      <c r="D350" s="205"/>
      <c r="E350" s="202"/>
      <c r="F350" s="202"/>
      <c r="G350" s="206"/>
      <c r="H350" s="206"/>
      <c r="I350" s="202"/>
      <c r="J350" s="219"/>
      <c r="K350" s="202"/>
      <c r="L350" s="206"/>
      <c r="M350" s="206"/>
      <c r="N350" s="202"/>
      <c r="O350" s="202"/>
      <c r="P350" s="205"/>
      <c r="Q350" s="207"/>
      <c r="R350" s="202"/>
      <c r="S350" s="202"/>
      <c r="T350" s="202"/>
      <c r="U350" s="203"/>
      <c r="V350" s="202"/>
      <c r="W350" s="202"/>
      <c r="X350" s="202"/>
    </row>
    <row r="351" spans="3:24" x14ac:dyDescent="0.45">
      <c r="C351" s="204"/>
      <c r="D351" s="205"/>
      <c r="E351" s="202"/>
      <c r="F351" s="202"/>
      <c r="G351" s="206"/>
      <c r="H351" s="206"/>
      <c r="I351" s="202"/>
      <c r="J351" s="219"/>
      <c r="K351" s="202"/>
      <c r="L351" s="206"/>
      <c r="M351" s="206"/>
      <c r="N351" s="202"/>
      <c r="O351" s="202"/>
      <c r="P351" s="205"/>
      <c r="Q351" s="207"/>
      <c r="R351" s="202"/>
      <c r="S351" s="202"/>
      <c r="T351" s="202"/>
      <c r="U351" s="203"/>
      <c r="V351" s="202"/>
      <c r="W351" s="202"/>
      <c r="X351" s="202"/>
    </row>
    <row r="352" spans="3:24" x14ac:dyDescent="0.45">
      <c r="C352" s="204"/>
      <c r="D352" s="205"/>
      <c r="E352" s="202"/>
      <c r="F352" s="202"/>
      <c r="G352" s="206"/>
      <c r="H352" s="206"/>
      <c r="I352" s="202"/>
      <c r="J352" s="219"/>
      <c r="K352" s="202"/>
      <c r="L352" s="206"/>
      <c r="M352" s="206"/>
      <c r="N352" s="202"/>
      <c r="O352" s="202"/>
      <c r="P352" s="205"/>
      <c r="Q352" s="207"/>
      <c r="R352" s="202"/>
      <c r="S352" s="202"/>
      <c r="T352" s="202"/>
      <c r="U352" s="203"/>
      <c r="V352" s="202"/>
      <c r="W352" s="202"/>
      <c r="X352" s="202"/>
    </row>
    <row r="353" spans="3:24" x14ac:dyDescent="0.45">
      <c r="C353" s="204"/>
      <c r="D353" s="205"/>
      <c r="E353" s="202"/>
      <c r="F353" s="202"/>
      <c r="G353" s="206"/>
      <c r="H353" s="206"/>
      <c r="I353" s="202"/>
      <c r="J353" s="219"/>
      <c r="K353" s="202"/>
      <c r="L353" s="206"/>
      <c r="M353" s="206"/>
      <c r="N353" s="202"/>
      <c r="O353" s="202"/>
      <c r="P353" s="205"/>
      <c r="Q353" s="207"/>
      <c r="R353" s="202"/>
      <c r="S353" s="202"/>
      <c r="T353" s="202"/>
      <c r="U353" s="203"/>
      <c r="V353" s="202"/>
      <c r="W353" s="202"/>
      <c r="X353" s="202"/>
    </row>
    <row r="354" spans="3:24" x14ac:dyDescent="0.45">
      <c r="C354" s="204"/>
      <c r="D354" s="205"/>
      <c r="E354" s="202"/>
      <c r="F354" s="202"/>
      <c r="G354" s="206"/>
      <c r="H354" s="206"/>
      <c r="I354" s="202"/>
      <c r="J354" s="219"/>
      <c r="K354" s="202"/>
      <c r="L354" s="206"/>
      <c r="M354" s="206"/>
      <c r="N354" s="202"/>
      <c r="O354" s="202"/>
      <c r="P354" s="205"/>
      <c r="Q354" s="207"/>
      <c r="R354" s="202"/>
      <c r="S354" s="202"/>
      <c r="T354" s="202"/>
      <c r="U354" s="203"/>
      <c r="V354" s="202"/>
      <c r="W354" s="202"/>
      <c r="X354" s="202"/>
    </row>
    <row r="355" spans="3:24" x14ac:dyDescent="0.45">
      <c r="C355" s="204"/>
      <c r="D355" s="205"/>
      <c r="E355" s="202"/>
      <c r="F355" s="202"/>
      <c r="G355" s="206"/>
      <c r="H355" s="206"/>
      <c r="I355" s="202"/>
      <c r="J355" s="219"/>
      <c r="K355" s="202"/>
      <c r="L355" s="206"/>
      <c r="M355" s="206"/>
      <c r="N355" s="202"/>
      <c r="O355" s="202"/>
      <c r="P355" s="205"/>
      <c r="Q355" s="207"/>
      <c r="R355" s="202"/>
      <c r="S355" s="202"/>
      <c r="T355" s="202"/>
      <c r="U355" s="203"/>
      <c r="V355" s="202"/>
      <c r="W355" s="202"/>
      <c r="X355" s="202"/>
    </row>
    <row r="356" spans="3:24" x14ac:dyDescent="0.45">
      <c r="C356" s="204"/>
      <c r="D356" s="205"/>
      <c r="E356" s="202"/>
      <c r="F356" s="202"/>
      <c r="G356" s="206"/>
      <c r="H356" s="206"/>
      <c r="I356" s="202"/>
      <c r="J356" s="219"/>
      <c r="K356" s="202"/>
      <c r="L356" s="206"/>
      <c r="M356" s="206"/>
      <c r="N356" s="202"/>
      <c r="O356" s="202"/>
      <c r="P356" s="205"/>
      <c r="Q356" s="207"/>
      <c r="R356" s="202"/>
      <c r="S356" s="202"/>
      <c r="T356" s="202"/>
      <c r="U356" s="203"/>
      <c r="V356" s="202"/>
      <c r="W356" s="202"/>
      <c r="X356" s="202"/>
    </row>
    <row r="357" spans="3:24" x14ac:dyDescent="0.45">
      <c r="C357" s="204"/>
      <c r="D357" s="205"/>
      <c r="E357" s="202"/>
      <c r="F357" s="202"/>
      <c r="G357" s="206"/>
      <c r="H357" s="206"/>
      <c r="I357" s="202"/>
      <c r="J357" s="219"/>
      <c r="K357" s="202"/>
      <c r="L357" s="206"/>
      <c r="M357" s="206"/>
      <c r="N357" s="202"/>
      <c r="O357" s="202"/>
      <c r="P357" s="205"/>
      <c r="Q357" s="207"/>
      <c r="R357" s="202"/>
      <c r="S357" s="202"/>
      <c r="T357" s="202"/>
      <c r="U357" s="203"/>
      <c r="V357" s="202"/>
      <c r="W357" s="202"/>
      <c r="X357" s="202"/>
    </row>
    <row r="358" spans="3:24" x14ac:dyDescent="0.45">
      <c r="C358" s="204"/>
      <c r="D358" s="205"/>
      <c r="E358" s="202"/>
      <c r="F358" s="202"/>
      <c r="G358" s="206"/>
      <c r="H358" s="206"/>
      <c r="I358" s="202"/>
      <c r="J358" s="219"/>
      <c r="K358" s="202"/>
      <c r="L358" s="206"/>
      <c r="M358" s="206"/>
      <c r="N358" s="202"/>
      <c r="O358" s="202"/>
      <c r="P358" s="205"/>
      <c r="Q358" s="207"/>
      <c r="R358" s="202"/>
      <c r="S358" s="202"/>
      <c r="T358" s="202"/>
      <c r="U358" s="203"/>
      <c r="V358" s="202"/>
      <c r="W358" s="202"/>
      <c r="X358" s="202"/>
    </row>
    <row r="359" spans="3:24" x14ac:dyDescent="0.45">
      <c r="C359" s="204"/>
      <c r="D359" s="205"/>
      <c r="E359" s="202"/>
      <c r="F359" s="202"/>
      <c r="G359" s="206"/>
      <c r="H359" s="206"/>
      <c r="I359" s="202"/>
      <c r="J359" s="219"/>
      <c r="K359" s="202"/>
      <c r="L359" s="206"/>
      <c r="M359" s="206"/>
      <c r="N359" s="202"/>
      <c r="O359" s="202"/>
      <c r="P359" s="205"/>
      <c r="Q359" s="207"/>
      <c r="R359" s="202"/>
      <c r="S359" s="202"/>
      <c r="T359" s="202"/>
      <c r="U359" s="203"/>
      <c r="V359" s="202"/>
      <c r="W359" s="202"/>
      <c r="X359" s="202"/>
    </row>
    <row r="360" spans="3:24" x14ac:dyDescent="0.45">
      <c r="C360" s="204"/>
      <c r="D360" s="205"/>
      <c r="E360" s="202"/>
      <c r="F360" s="202"/>
      <c r="G360" s="206"/>
      <c r="H360" s="206"/>
      <c r="I360" s="202"/>
      <c r="J360" s="219"/>
      <c r="K360" s="202"/>
      <c r="L360" s="206"/>
      <c r="M360" s="206"/>
      <c r="N360" s="202"/>
      <c r="O360" s="202"/>
      <c r="P360" s="205"/>
      <c r="Q360" s="207"/>
      <c r="R360" s="202"/>
      <c r="S360" s="202"/>
      <c r="T360" s="202"/>
      <c r="U360" s="203"/>
      <c r="V360" s="202"/>
      <c r="W360" s="202"/>
      <c r="X360" s="202"/>
    </row>
    <row r="361" spans="3:24" x14ac:dyDescent="0.45">
      <c r="C361" s="204"/>
      <c r="D361" s="205"/>
      <c r="E361" s="202"/>
      <c r="F361" s="202"/>
      <c r="G361" s="206"/>
      <c r="H361" s="206"/>
      <c r="I361" s="202"/>
      <c r="J361" s="219"/>
      <c r="K361" s="202"/>
      <c r="L361" s="206"/>
      <c r="M361" s="206"/>
      <c r="N361" s="202"/>
      <c r="O361" s="202"/>
      <c r="P361" s="205"/>
      <c r="Q361" s="207"/>
      <c r="R361" s="202"/>
      <c r="S361" s="202"/>
      <c r="T361" s="202"/>
      <c r="U361" s="203"/>
      <c r="V361" s="202"/>
      <c r="W361" s="202"/>
      <c r="X361" s="202"/>
    </row>
    <row r="362" spans="3:24" x14ac:dyDescent="0.45">
      <c r="C362" s="204"/>
      <c r="D362" s="205"/>
      <c r="E362" s="202"/>
      <c r="F362" s="202"/>
      <c r="G362" s="206"/>
      <c r="H362" s="206"/>
      <c r="I362" s="202"/>
      <c r="J362" s="219"/>
      <c r="K362" s="202"/>
      <c r="L362" s="206"/>
      <c r="M362" s="206"/>
      <c r="N362" s="202"/>
      <c r="O362" s="202"/>
      <c r="P362" s="205"/>
      <c r="Q362" s="207"/>
      <c r="R362" s="202"/>
      <c r="S362" s="202"/>
      <c r="T362" s="202"/>
      <c r="U362" s="203"/>
      <c r="V362" s="202"/>
      <c r="W362" s="202"/>
      <c r="X362" s="202"/>
    </row>
    <row r="363" spans="3:24" x14ac:dyDescent="0.45">
      <c r="C363" s="204"/>
      <c r="D363" s="205"/>
      <c r="E363" s="202"/>
      <c r="F363" s="202"/>
      <c r="G363" s="206"/>
      <c r="H363" s="206"/>
      <c r="I363" s="202"/>
      <c r="J363" s="219"/>
      <c r="K363" s="202"/>
      <c r="L363" s="206"/>
      <c r="M363" s="206"/>
      <c r="N363" s="202"/>
      <c r="O363" s="202"/>
      <c r="P363" s="205"/>
      <c r="Q363" s="207"/>
      <c r="R363" s="202"/>
      <c r="S363" s="202"/>
      <c r="T363" s="202"/>
      <c r="U363" s="203"/>
      <c r="V363" s="202"/>
      <c r="W363" s="202"/>
      <c r="X363" s="202"/>
    </row>
    <row r="364" spans="3:24" x14ac:dyDescent="0.45">
      <c r="C364" s="204"/>
      <c r="D364" s="205"/>
      <c r="E364" s="202"/>
      <c r="F364" s="202"/>
      <c r="G364" s="206"/>
      <c r="H364" s="206"/>
      <c r="I364" s="202"/>
      <c r="J364" s="219"/>
      <c r="K364" s="202"/>
      <c r="L364" s="206"/>
      <c r="M364" s="206"/>
      <c r="N364" s="202"/>
      <c r="O364" s="202"/>
      <c r="P364" s="205"/>
      <c r="Q364" s="207"/>
      <c r="R364" s="202"/>
      <c r="S364" s="202"/>
      <c r="T364" s="202"/>
      <c r="U364" s="203"/>
      <c r="V364" s="202"/>
      <c r="W364" s="202"/>
      <c r="X364" s="202"/>
    </row>
    <row r="365" spans="3:24" x14ac:dyDescent="0.45">
      <c r="C365" s="204"/>
      <c r="D365" s="205"/>
      <c r="E365" s="202"/>
      <c r="F365" s="202"/>
      <c r="G365" s="206"/>
      <c r="H365" s="206"/>
      <c r="I365" s="202"/>
      <c r="J365" s="219"/>
      <c r="K365" s="202"/>
      <c r="L365" s="206"/>
      <c r="M365" s="206"/>
      <c r="N365" s="202"/>
      <c r="O365" s="202"/>
      <c r="P365" s="205"/>
      <c r="Q365" s="207"/>
      <c r="R365" s="202"/>
      <c r="S365" s="202"/>
      <c r="T365" s="202"/>
      <c r="U365" s="203"/>
      <c r="V365" s="202"/>
      <c r="W365" s="202"/>
      <c r="X365" s="202"/>
    </row>
    <row r="366" spans="3:24" x14ac:dyDescent="0.45">
      <c r="C366" s="204"/>
      <c r="D366" s="205"/>
      <c r="E366" s="202"/>
      <c r="F366" s="202"/>
      <c r="G366" s="206"/>
      <c r="H366" s="206"/>
      <c r="I366" s="202"/>
      <c r="J366" s="219"/>
      <c r="K366" s="202"/>
      <c r="L366" s="206"/>
      <c r="M366" s="206"/>
      <c r="N366" s="202"/>
      <c r="O366" s="202"/>
      <c r="P366" s="205"/>
      <c r="Q366" s="207"/>
      <c r="R366" s="202"/>
      <c r="S366" s="202"/>
      <c r="T366" s="202"/>
      <c r="U366" s="203"/>
      <c r="V366" s="202"/>
      <c r="W366" s="202"/>
      <c r="X366" s="202"/>
    </row>
    <row r="367" spans="3:24" x14ac:dyDescent="0.45">
      <c r="C367" s="204"/>
      <c r="D367" s="205"/>
      <c r="E367" s="202"/>
      <c r="F367" s="202"/>
      <c r="G367" s="206"/>
      <c r="H367" s="206"/>
      <c r="I367" s="202"/>
      <c r="J367" s="219"/>
      <c r="K367" s="202"/>
      <c r="L367" s="206"/>
      <c r="M367" s="206"/>
      <c r="N367" s="202"/>
      <c r="O367" s="202"/>
      <c r="P367" s="205"/>
      <c r="Q367" s="207"/>
      <c r="R367" s="202"/>
      <c r="S367" s="202"/>
      <c r="T367" s="202"/>
      <c r="U367" s="203"/>
      <c r="V367" s="202"/>
      <c r="W367" s="202"/>
      <c r="X367" s="202"/>
    </row>
    <row r="368" spans="3:24" x14ac:dyDescent="0.45">
      <c r="C368" s="204"/>
      <c r="D368" s="205"/>
      <c r="E368" s="202"/>
      <c r="F368" s="202"/>
      <c r="G368" s="206"/>
      <c r="H368" s="206"/>
      <c r="I368" s="202"/>
      <c r="J368" s="219"/>
      <c r="K368" s="202"/>
      <c r="L368" s="206"/>
      <c r="M368" s="206"/>
      <c r="N368" s="202"/>
      <c r="O368" s="202"/>
      <c r="P368" s="205"/>
      <c r="Q368" s="207"/>
      <c r="R368" s="202"/>
      <c r="S368" s="202"/>
      <c r="T368" s="202"/>
      <c r="U368" s="203"/>
      <c r="V368" s="202"/>
      <c r="W368" s="202"/>
      <c r="X368" s="202"/>
    </row>
    <row r="369" spans="3:24" x14ac:dyDescent="0.45">
      <c r="C369" s="204"/>
      <c r="D369" s="205"/>
      <c r="E369" s="202"/>
      <c r="F369" s="202"/>
      <c r="G369" s="206"/>
      <c r="H369" s="206"/>
      <c r="I369" s="202"/>
      <c r="J369" s="219"/>
      <c r="K369" s="202"/>
      <c r="L369" s="206"/>
      <c r="M369" s="206"/>
      <c r="N369" s="202"/>
      <c r="O369" s="202"/>
      <c r="P369" s="205"/>
      <c r="Q369" s="207"/>
      <c r="R369" s="202"/>
      <c r="S369" s="202"/>
      <c r="T369" s="202"/>
      <c r="U369" s="203"/>
      <c r="V369" s="202"/>
      <c r="W369" s="202"/>
      <c r="X369" s="202"/>
    </row>
    <row r="370" spans="3:24" x14ac:dyDescent="0.45">
      <c r="C370" s="204"/>
      <c r="D370" s="205"/>
      <c r="E370" s="202"/>
      <c r="F370" s="202"/>
      <c r="G370" s="206"/>
      <c r="H370" s="206"/>
      <c r="I370" s="202"/>
      <c r="J370" s="219"/>
      <c r="K370" s="202"/>
      <c r="L370" s="206"/>
      <c r="M370" s="206"/>
      <c r="N370" s="202"/>
      <c r="O370" s="202"/>
      <c r="P370" s="205"/>
      <c r="Q370" s="207"/>
      <c r="R370" s="202"/>
      <c r="S370" s="202"/>
      <c r="T370" s="202"/>
      <c r="U370" s="203"/>
      <c r="V370" s="202"/>
      <c r="W370" s="202"/>
      <c r="X370" s="202"/>
    </row>
    <row r="371" spans="3:24" x14ac:dyDescent="0.45">
      <c r="C371" s="204"/>
      <c r="D371" s="205"/>
      <c r="E371" s="202"/>
      <c r="F371" s="202"/>
      <c r="G371" s="206"/>
      <c r="H371" s="206"/>
      <c r="I371" s="202"/>
      <c r="J371" s="219"/>
      <c r="K371" s="202"/>
      <c r="L371" s="206"/>
      <c r="M371" s="206"/>
      <c r="N371" s="202"/>
      <c r="O371" s="202"/>
      <c r="P371" s="205"/>
      <c r="Q371" s="207"/>
      <c r="R371" s="202"/>
      <c r="S371" s="202"/>
      <c r="T371" s="202"/>
      <c r="U371" s="203"/>
      <c r="V371" s="202"/>
      <c r="W371" s="202"/>
      <c r="X371" s="202"/>
    </row>
    <row r="372" spans="3:24" x14ac:dyDescent="0.45">
      <c r="C372" s="204"/>
      <c r="D372" s="205"/>
      <c r="E372" s="202"/>
      <c r="F372" s="202"/>
      <c r="G372" s="206"/>
      <c r="H372" s="206"/>
      <c r="I372" s="202"/>
      <c r="J372" s="219"/>
      <c r="K372" s="202"/>
      <c r="L372" s="206"/>
      <c r="M372" s="206"/>
      <c r="N372" s="202"/>
      <c r="O372" s="202"/>
      <c r="P372" s="205"/>
      <c r="Q372" s="207"/>
      <c r="R372" s="202"/>
      <c r="S372" s="202"/>
      <c r="T372" s="202"/>
      <c r="U372" s="203"/>
      <c r="V372" s="202"/>
      <c r="W372" s="202"/>
      <c r="X372" s="202"/>
    </row>
    <row r="373" spans="3:24" x14ac:dyDescent="0.45">
      <c r="C373" s="204"/>
      <c r="D373" s="205"/>
      <c r="E373" s="202"/>
      <c r="F373" s="202"/>
      <c r="G373" s="206"/>
      <c r="H373" s="206"/>
      <c r="I373" s="202"/>
      <c r="J373" s="219"/>
      <c r="K373" s="202"/>
      <c r="L373" s="206"/>
      <c r="M373" s="206"/>
      <c r="N373" s="202"/>
      <c r="O373" s="202"/>
      <c r="P373" s="205"/>
      <c r="Q373" s="207"/>
      <c r="R373" s="202"/>
      <c r="S373" s="202"/>
      <c r="T373" s="202"/>
      <c r="U373" s="203"/>
      <c r="V373" s="202"/>
      <c r="W373" s="202"/>
      <c r="X373" s="202"/>
    </row>
    <row r="374" spans="3:24" x14ac:dyDescent="0.45">
      <c r="C374" s="204"/>
      <c r="D374" s="205"/>
      <c r="E374" s="202"/>
      <c r="F374" s="202"/>
      <c r="G374" s="206"/>
      <c r="H374" s="206"/>
      <c r="I374" s="202"/>
      <c r="J374" s="219"/>
      <c r="K374" s="202"/>
      <c r="L374" s="206"/>
      <c r="M374" s="206"/>
      <c r="N374" s="202"/>
      <c r="O374" s="202"/>
      <c r="P374" s="205"/>
      <c r="Q374" s="207"/>
      <c r="R374" s="202"/>
      <c r="S374" s="202"/>
      <c r="T374" s="202"/>
      <c r="U374" s="203"/>
      <c r="V374" s="202"/>
      <c r="W374" s="202"/>
      <c r="X374" s="202"/>
    </row>
    <row r="375" spans="3:24" x14ac:dyDescent="0.45">
      <c r="C375" s="204"/>
      <c r="D375" s="205"/>
      <c r="E375" s="202"/>
      <c r="F375" s="202"/>
      <c r="G375" s="206"/>
      <c r="H375" s="206"/>
      <c r="I375" s="202"/>
      <c r="J375" s="219"/>
      <c r="K375" s="202"/>
      <c r="L375" s="206"/>
      <c r="M375" s="206"/>
      <c r="N375" s="202"/>
      <c r="O375" s="202"/>
      <c r="P375" s="205"/>
      <c r="Q375" s="207"/>
      <c r="R375" s="202"/>
      <c r="S375" s="202"/>
      <c r="T375" s="202"/>
      <c r="U375" s="203"/>
      <c r="V375" s="202"/>
      <c r="W375" s="202"/>
      <c r="X375" s="202"/>
    </row>
    <row r="376" spans="3:24" x14ac:dyDescent="0.45">
      <c r="C376" s="204"/>
      <c r="D376" s="205"/>
      <c r="E376" s="202"/>
      <c r="F376" s="202"/>
      <c r="G376" s="206"/>
      <c r="H376" s="206"/>
      <c r="I376" s="202"/>
      <c r="J376" s="219"/>
      <c r="K376" s="202"/>
      <c r="L376" s="206"/>
      <c r="M376" s="206"/>
      <c r="N376" s="202"/>
      <c r="O376" s="202"/>
      <c r="P376" s="205"/>
      <c r="Q376" s="207"/>
      <c r="R376" s="202"/>
      <c r="S376" s="202"/>
      <c r="T376" s="202"/>
      <c r="U376" s="203"/>
      <c r="V376" s="202"/>
      <c r="W376" s="202"/>
      <c r="X376" s="202"/>
    </row>
    <row r="377" spans="3:24" x14ac:dyDescent="0.45">
      <c r="C377" s="204"/>
      <c r="D377" s="205"/>
      <c r="E377" s="202"/>
      <c r="F377" s="202"/>
      <c r="G377" s="206"/>
      <c r="H377" s="206"/>
      <c r="I377" s="202"/>
      <c r="J377" s="219"/>
      <c r="K377" s="202"/>
      <c r="L377" s="206"/>
      <c r="M377" s="206"/>
      <c r="N377" s="202"/>
      <c r="O377" s="202"/>
      <c r="P377" s="205"/>
      <c r="Q377" s="207"/>
      <c r="R377" s="202"/>
      <c r="S377" s="202"/>
      <c r="T377" s="202"/>
      <c r="U377" s="203"/>
      <c r="V377" s="202"/>
      <c r="W377" s="202"/>
      <c r="X377" s="202"/>
    </row>
    <row r="378" spans="3:24" x14ac:dyDescent="0.45">
      <c r="C378" s="204"/>
      <c r="D378" s="205"/>
      <c r="E378" s="202"/>
      <c r="F378" s="202"/>
      <c r="G378" s="206"/>
      <c r="H378" s="206"/>
      <c r="I378" s="202"/>
      <c r="J378" s="219"/>
      <c r="K378" s="202"/>
      <c r="L378" s="206"/>
      <c r="M378" s="206"/>
      <c r="N378" s="202"/>
      <c r="O378" s="202"/>
      <c r="P378" s="205"/>
      <c r="Q378" s="207"/>
      <c r="R378" s="202"/>
      <c r="S378" s="202"/>
      <c r="T378" s="202"/>
      <c r="U378" s="203"/>
      <c r="V378" s="202"/>
      <c r="W378" s="202"/>
      <c r="X378" s="202"/>
    </row>
    <row r="379" spans="3:24" x14ac:dyDescent="0.45">
      <c r="C379" s="204"/>
      <c r="D379" s="205"/>
      <c r="E379" s="202"/>
      <c r="F379" s="202"/>
      <c r="G379" s="206"/>
      <c r="H379" s="206"/>
      <c r="I379" s="202"/>
      <c r="J379" s="219"/>
      <c r="K379" s="202"/>
      <c r="L379" s="206"/>
      <c r="M379" s="206"/>
      <c r="N379" s="202"/>
      <c r="O379" s="202"/>
      <c r="P379" s="205"/>
      <c r="Q379" s="207"/>
      <c r="R379" s="202"/>
      <c r="S379" s="202"/>
      <c r="T379" s="202"/>
      <c r="U379" s="203"/>
      <c r="V379" s="202"/>
      <c r="W379" s="202"/>
      <c r="X379" s="202"/>
    </row>
    <row r="380" spans="3:24" x14ac:dyDescent="0.45">
      <c r="C380" s="204"/>
      <c r="D380" s="205"/>
      <c r="E380" s="202"/>
      <c r="F380" s="202"/>
      <c r="G380" s="206"/>
      <c r="H380" s="206"/>
      <c r="I380" s="202"/>
      <c r="J380" s="219"/>
      <c r="K380" s="202"/>
      <c r="L380" s="206"/>
      <c r="M380" s="206"/>
      <c r="N380" s="202"/>
      <c r="O380" s="202"/>
      <c r="P380" s="205"/>
      <c r="Q380" s="207"/>
      <c r="R380" s="202"/>
      <c r="S380" s="202"/>
      <c r="T380" s="202"/>
      <c r="U380" s="203"/>
      <c r="V380" s="202"/>
      <c r="W380" s="202"/>
      <c r="X380" s="202"/>
    </row>
    <row r="381" spans="3:24" x14ac:dyDescent="0.45">
      <c r="C381" s="204"/>
      <c r="D381" s="205"/>
      <c r="E381" s="202"/>
      <c r="F381" s="202"/>
      <c r="G381" s="206"/>
      <c r="H381" s="206"/>
      <c r="I381" s="202"/>
      <c r="J381" s="219"/>
      <c r="K381" s="202"/>
      <c r="L381" s="206"/>
      <c r="M381" s="206"/>
      <c r="N381" s="202"/>
      <c r="O381" s="202"/>
      <c r="P381" s="205"/>
      <c r="Q381" s="207"/>
      <c r="R381" s="202"/>
      <c r="S381" s="202"/>
      <c r="T381" s="202"/>
      <c r="U381" s="203"/>
      <c r="V381" s="202"/>
      <c r="W381" s="202"/>
      <c r="X381" s="202"/>
    </row>
    <row r="382" spans="3:24" x14ac:dyDescent="0.45">
      <c r="C382" s="204"/>
      <c r="D382" s="205"/>
      <c r="E382" s="202"/>
      <c r="F382" s="202"/>
      <c r="G382" s="206"/>
      <c r="H382" s="206"/>
      <c r="I382" s="202"/>
      <c r="J382" s="219"/>
      <c r="K382" s="202"/>
      <c r="L382" s="206"/>
      <c r="M382" s="206"/>
      <c r="N382" s="202"/>
      <c r="O382" s="202"/>
      <c r="P382" s="205"/>
      <c r="Q382" s="207"/>
      <c r="R382" s="202"/>
      <c r="S382" s="202"/>
      <c r="T382" s="202"/>
      <c r="U382" s="203"/>
      <c r="V382" s="202"/>
      <c r="W382" s="202"/>
      <c r="X382" s="202"/>
    </row>
    <row r="383" spans="3:24" x14ac:dyDescent="0.45">
      <c r="C383" s="204"/>
      <c r="D383" s="205"/>
      <c r="E383" s="202"/>
      <c r="F383" s="202"/>
      <c r="G383" s="206"/>
      <c r="H383" s="206"/>
      <c r="I383" s="202"/>
      <c r="J383" s="219"/>
      <c r="K383" s="202"/>
      <c r="L383" s="206"/>
      <c r="M383" s="206"/>
      <c r="N383" s="202"/>
      <c r="O383" s="202"/>
      <c r="P383" s="205"/>
      <c r="Q383" s="207"/>
      <c r="R383" s="202"/>
      <c r="S383" s="202"/>
      <c r="T383" s="202"/>
      <c r="U383" s="203"/>
      <c r="V383" s="202"/>
      <c r="W383" s="202"/>
      <c r="X383" s="202"/>
    </row>
    <row r="384" spans="3:24" x14ac:dyDescent="0.45">
      <c r="C384" s="204"/>
      <c r="D384" s="205"/>
      <c r="E384" s="202"/>
      <c r="F384" s="202"/>
      <c r="G384" s="206"/>
      <c r="H384" s="206"/>
      <c r="I384" s="202"/>
      <c r="J384" s="219"/>
      <c r="K384" s="202"/>
      <c r="L384" s="206"/>
      <c r="M384" s="206"/>
      <c r="N384" s="202"/>
      <c r="O384" s="202"/>
      <c r="P384" s="205"/>
      <c r="Q384" s="207"/>
      <c r="R384" s="202"/>
      <c r="S384" s="202"/>
      <c r="T384" s="202"/>
      <c r="U384" s="203"/>
      <c r="V384" s="202"/>
      <c r="W384" s="202"/>
      <c r="X384" s="202"/>
    </row>
    <row r="385" spans="3:24" x14ac:dyDescent="0.45">
      <c r="C385" s="204"/>
      <c r="D385" s="205"/>
      <c r="E385" s="202"/>
      <c r="F385" s="202"/>
      <c r="G385" s="206"/>
      <c r="H385" s="206"/>
      <c r="I385" s="202"/>
      <c r="J385" s="219"/>
      <c r="K385" s="202"/>
      <c r="L385" s="206"/>
      <c r="M385" s="206"/>
      <c r="N385" s="202"/>
      <c r="O385" s="202"/>
      <c r="P385" s="205"/>
      <c r="Q385" s="207"/>
      <c r="R385" s="202"/>
      <c r="S385" s="202"/>
      <c r="T385" s="202"/>
      <c r="U385" s="203"/>
      <c r="V385" s="202"/>
      <c r="W385" s="202"/>
      <c r="X385" s="202"/>
    </row>
    <row r="386" spans="3:24" x14ac:dyDescent="0.45">
      <c r="C386" s="204"/>
      <c r="D386" s="205"/>
      <c r="E386" s="202"/>
      <c r="F386" s="202"/>
      <c r="G386" s="206"/>
      <c r="H386" s="206"/>
      <c r="I386" s="202"/>
      <c r="J386" s="219"/>
      <c r="K386" s="202"/>
      <c r="L386" s="206"/>
      <c r="M386" s="206"/>
      <c r="N386" s="202"/>
      <c r="O386" s="202"/>
      <c r="P386" s="205"/>
      <c r="Q386" s="207"/>
      <c r="R386" s="202"/>
      <c r="S386" s="202"/>
      <c r="T386" s="202"/>
      <c r="U386" s="203"/>
      <c r="V386" s="202"/>
      <c r="W386" s="202"/>
      <c r="X386" s="202"/>
    </row>
    <row r="387" spans="3:24" x14ac:dyDescent="0.45">
      <c r="C387" s="204"/>
      <c r="D387" s="205"/>
      <c r="E387" s="202"/>
      <c r="F387" s="202"/>
      <c r="G387" s="206"/>
      <c r="H387" s="206"/>
      <c r="I387" s="202"/>
      <c r="J387" s="219"/>
      <c r="K387" s="202"/>
      <c r="L387" s="206"/>
      <c r="M387" s="206"/>
      <c r="N387" s="202"/>
      <c r="O387" s="202"/>
      <c r="P387" s="205"/>
      <c r="Q387" s="207"/>
      <c r="R387" s="202"/>
      <c r="S387" s="202"/>
      <c r="T387" s="202"/>
      <c r="U387" s="203"/>
      <c r="V387" s="202"/>
      <c r="W387" s="202"/>
      <c r="X387" s="202"/>
    </row>
    <row r="388" spans="3:24" x14ac:dyDescent="0.45">
      <c r="C388" s="204"/>
      <c r="D388" s="205"/>
      <c r="E388" s="202"/>
      <c r="F388" s="202"/>
      <c r="G388" s="206"/>
      <c r="H388" s="206"/>
      <c r="I388" s="202"/>
      <c r="J388" s="219"/>
      <c r="K388" s="202"/>
      <c r="L388" s="206"/>
      <c r="M388" s="206"/>
      <c r="N388" s="202"/>
      <c r="O388" s="202"/>
      <c r="P388" s="205"/>
      <c r="Q388" s="207"/>
      <c r="R388" s="202"/>
      <c r="S388" s="202"/>
      <c r="T388" s="202"/>
      <c r="U388" s="203"/>
      <c r="V388" s="202"/>
      <c r="W388" s="202"/>
      <c r="X388" s="202"/>
    </row>
    <row r="389" spans="3:24" x14ac:dyDescent="0.45">
      <c r="C389" s="204"/>
      <c r="D389" s="205"/>
      <c r="E389" s="202"/>
      <c r="F389" s="202"/>
      <c r="G389" s="206"/>
      <c r="H389" s="206"/>
      <c r="I389" s="202"/>
      <c r="J389" s="219"/>
      <c r="K389" s="202"/>
      <c r="L389" s="206"/>
      <c r="M389" s="206"/>
      <c r="N389" s="202"/>
      <c r="O389" s="202"/>
      <c r="P389" s="205"/>
      <c r="Q389" s="207"/>
      <c r="R389" s="202"/>
      <c r="S389" s="202"/>
      <c r="T389" s="202"/>
      <c r="U389" s="203"/>
      <c r="V389" s="202"/>
      <c r="W389" s="202"/>
      <c r="X389" s="202"/>
    </row>
    <row r="390" spans="3:24" x14ac:dyDescent="0.45">
      <c r="C390" s="204"/>
      <c r="D390" s="205"/>
      <c r="E390" s="202"/>
      <c r="F390" s="202"/>
      <c r="G390" s="206"/>
      <c r="H390" s="206"/>
      <c r="I390" s="202"/>
      <c r="J390" s="219"/>
      <c r="K390" s="202"/>
      <c r="L390" s="206"/>
      <c r="M390" s="206"/>
      <c r="N390" s="202"/>
      <c r="O390" s="202"/>
      <c r="P390" s="205"/>
      <c r="Q390" s="207"/>
      <c r="R390" s="202"/>
      <c r="S390" s="202"/>
      <c r="T390" s="202"/>
      <c r="U390" s="203"/>
      <c r="V390" s="202"/>
      <c r="W390" s="202"/>
      <c r="X390" s="202"/>
    </row>
    <row r="391" spans="3:24" x14ac:dyDescent="0.45">
      <c r="C391" s="204"/>
      <c r="D391" s="205"/>
      <c r="E391" s="202"/>
      <c r="F391" s="202"/>
      <c r="G391" s="206"/>
      <c r="H391" s="206"/>
      <c r="I391" s="202"/>
      <c r="J391" s="219"/>
      <c r="K391" s="202"/>
      <c r="L391" s="206"/>
      <c r="M391" s="206"/>
      <c r="N391" s="202"/>
      <c r="O391" s="202"/>
      <c r="P391" s="205"/>
      <c r="Q391" s="207"/>
      <c r="R391" s="202"/>
      <c r="S391" s="202"/>
      <c r="T391" s="202"/>
      <c r="U391" s="203"/>
      <c r="V391" s="202"/>
      <c r="W391" s="202"/>
      <c r="X391" s="202"/>
    </row>
    <row r="392" spans="3:24" x14ac:dyDescent="0.45">
      <c r="C392" s="204"/>
      <c r="D392" s="205"/>
      <c r="E392" s="202"/>
      <c r="F392" s="202"/>
      <c r="G392" s="206"/>
      <c r="H392" s="206"/>
      <c r="I392" s="202"/>
      <c r="J392" s="219"/>
      <c r="K392" s="202"/>
      <c r="L392" s="206"/>
      <c r="M392" s="206"/>
      <c r="N392" s="202"/>
      <c r="O392" s="202"/>
      <c r="P392" s="205"/>
      <c r="Q392" s="207"/>
      <c r="R392" s="202"/>
      <c r="S392" s="202"/>
      <c r="T392" s="202"/>
      <c r="U392" s="203"/>
      <c r="V392" s="202"/>
      <c r="W392" s="202"/>
      <c r="X392" s="202"/>
    </row>
    <row r="393" spans="3:24" x14ac:dyDescent="0.45">
      <c r="C393" s="204"/>
      <c r="D393" s="205"/>
      <c r="E393" s="202"/>
      <c r="F393" s="202"/>
      <c r="G393" s="206"/>
      <c r="H393" s="206"/>
      <c r="I393" s="202"/>
      <c r="J393" s="219"/>
      <c r="K393" s="202"/>
      <c r="L393" s="206"/>
      <c r="M393" s="206"/>
      <c r="N393" s="202"/>
      <c r="O393" s="202"/>
      <c r="P393" s="205"/>
      <c r="Q393" s="207"/>
      <c r="R393" s="202"/>
      <c r="S393" s="202"/>
      <c r="T393" s="202"/>
      <c r="U393" s="203"/>
      <c r="V393" s="202"/>
      <c r="W393" s="202"/>
      <c r="X393" s="202"/>
    </row>
    <row r="394" spans="3:24" x14ac:dyDescent="0.45">
      <c r="C394" s="204"/>
      <c r="D394" s="205"/>
      <c r="E394" s="202"/>
      <c r="F394" s="202"/>
      <c r="G394" s="206"/>
      <c r="H394" s="206"/>
      <c r="I394" s="202"/>
      <c r="J394" s="219"/>
      <c r="K394" s="202"/>
      <c r="L394" s="206"/>
      <c r="M394" s="206"/>
      <c r="N394" s="202"/>
      <c r="O394" s="202"/>
      <c r="P394" s="205"/>
      <c r="Q394" s="207"/>
      <c r="R394" s="202"/>
      <c r="S394" s="202"/>
      <c r="T394" s="202"/>
      <c r="U394" s="203"/>
      <c r="V394" s="202"/>
      <c r="W394" s="202"/>
      <c r="X394" s="202"/>
    </row>
    <row r="395" spans="3:24" x14ac:dyDescent="0.45">
      <c r="C395" s="204"/>
      <c r="D395" s="205"/>
      <c r="E395" s="202"/>
      <c r="F395" s="202"/>
      <c r="G395" s="206"/>
      <c r="H395" s="206"/>
      <c r="I395" s="202"/>
      <c r="J395" s="219"/>
      <c r="K395" s="202"/>
      <c r="L395" s="206"/>
      <c r="M395" s="206"/>
      <c r="N395" s="202"/>
      <c r="O395" s="202"/>
      <c r="P395" s="205"/>
      <c r="Q395" s="207"/>
      <c r="R395" s="202"/>
      <c r="S395" s="202"/>
      <c r="T395" s="202"/>
      <c r="U395" s="203"/>
      <c r="V395" s="202"/>
      <c r="W395" s="202"/>
      <c r="X395" s="202"/>
    </row>
    <row r="396" spans="3:24" x14ac:dyDescent="0.45">
      <c r="C396" s="204"/>
      <c r="D396" s="205"/>
      <c r="E396" s="202"/>
      <c r="F396" s="202"/>
      <c r="G396" s="206"/>
      <c r="H396" s="206"/>
      <c r="I396" s="202"/>
      <c r="J396" s="219"/>
      <c r="K396" s="202"/>
      <c r="L396" s="206"/>
      <c r="M396" s="206"/>
      <c r="N396" s="202"/>
      <c r="O396" s="202"/>
      <c r="P396" s="205"/>
      <c r="Q396" s="207"/>
      <c r="R396" s="202"/>
      <c r="S396" s="202"/>
      <c r="T396" s="202"/>
      <c r="U396" s="203"/>
      <c r="V396" s="202"/>
      <c r="W396" s="202"/>
      <c r="X396" s="202"/>
    </row>
    <row r="397" spans="3:24" x14ac:dyDescent="0.45">
      <c r="C397" s="204"/>
      <c r="D397" s="205"/>
      <c r="E397" s="202"/>
      <c r="F397" s="202"/>
      <c r="G397" s="206"/>
      <c r="H397" s="206"/>
      <c r="I397" s="202"/>
      <c r="J397" s="219"/>
      <c r="K397" s="202"/>
      <c r="L397" s="206"/>
      <c r="M397" s="206"/>
      <c r="N397" s="202"/>
      <c r="O397" s="202"/>
      <c r="P397" s="205"/>
      <c r="Q397" s="207"/>
      <c r="R397" s="202"/>
      <c r="S397" s="202"/>
      <c r="T397" s="202"/>
      <c r="U397" s="203"/>
      <c r="V397" s="202"/>
      <c r="W397" s="202"/>
      <c r="X397" s="202"/>
    </row>
    <row r="398" spans="3:24" x14ac:dyDescent="0.45">
      <c r="C398" s="204"/>
      <c r="D398" s="205"/>
      <c r="E398" s="202"/>
      <c r="F398" s="202"/>
      <c r="G398" s="206"/>
      <c r="H398" s="206"/>
      <c r="I398" s="202"/>
      <c r="J398" s="219"/>
      <c r="K398" s="202"/>
      <c r="L398" s="206"/>
      <c r="M398" s="206"/>
      <c r="N398" s="202"/>
      <c r="O398" s="202"/>
      <c r="P398" s="205"/>
      <c r="Q398" s="207"/>
      <c r="R398" s="202"/>
      <c r="S398" s="202"/>
      <c r="T398" s="202"/>
      <c r="U398" s="203"/>
      <c r="V398" s="202"/>
      <c r="W398" s="202"/>
      <c r="X398" s="202"/>
    </row>
    <row r="399" spans="3:24" x14ac:dyDescent="0.45">
      <c r="C399" s="204"/>
      <c r="D399" s="205"/>
      <c r="E399" s="202"/>
      <c r="F399" s="202"/>
      <c r="G399" s="206"/>
      <c r="H399" s="206"/>
      <c r="I399" s="202"/>
      <c r="J399" s="219"/>
      <c r="K399" s="202"/>
      <c r="L399" s="206"/>
      <c r="M399" s="206"/>
      <c r="N399" s="202"/>
      <c r="O399" s="202"/>
      <c r="P399" s="205"/>
      <c r="Q399" s="207"/>
      <c r="R399" s="202"/>
      <c r="S399" s="202"/>
      <c r="T399" s="202"/>
      <c r="U399" s="203"/>
      <c r="V399" s="202"/>
      <c r="W399" s="202"/>
      <c r="X399" s="202"/>
    </row>
    <row r="400" spans="3:24" x14ac:dyDescent="0.45">
      <c r="C400" s="204"/>
      <c r="D400" s="205"/>
      <c r="E400" s="202"/>
      <c r="F400" s="202"/>
      <c r="G400" s="206"/>
      <c r="H400" s="206"/>
      <c r="I400" s="202"/>
      <c r="J400" s="219"/>
      <c r="K400" s="202"/>
      <c r="L400" s="206"/>
      <c r="M400" s="206"/>
      <c r="N400" s="202"/>
      <c r="O400" s="202"/>
      <c r="P400" s="205"/>
      <c r="Q400" s="207"/>
      <c r="R400" s="202"/>
      <c r="S400" s="202"/>
      <c r="T400" s="202"/>
      <c r="U400" s="203"/>
      <c r="V400" s="202"/>
      <c r="W400" s="202"/>
      <c r="X400" s="202"/>
    </row>
    <row r="401" spans="3:24" x14ac:dyDescent="0.45">
      <c r="C401" s="204"/>
      <c r="D401" s="205"/>
      <c r="E401" s="202"/>
      <c r="F401" s="202"/>
      <c r="G401" s="206"/>
      <c r="H401" s="206"/>
      <c r="I401" s="202"/>
      <c r="J401" s="219"/>
      <c r="K401" s="202"/>
      <c r="L401" s="206"/>
      <c r="M401" s="206"/>
      <c r="N401" s="202"/>
      <c r="O401" s="202"/>
      <c r="P401" s="205"/>
      <c r="Q401" s="207"/>
      <c r="R401" s="202"/>
      <c r="S401" s="202"/>
      <c r="T401" s="202"/>
      <c r="U401" s="203"/>
      <c r="V401" s="202"/>
      <c r="W401" s="202"/>
      <c r="X401" s="202"/>
    </row>
    <row r="402" spans="3:24" x14ac:dyDescent="0.45">
      <c r="C402" s="204"/>
      <c r="D402" s="205"/>
      <c r="E402" s="202"/>
      <c r="F402" s="202"/>
      <c r="G402" s="206"/>
      <c r="H402" s="206"/>
      <c r="I402" s="202"/>
      <c r="J402" s="219"/>
      <c r="K402" s="202"/>
      <c r="L402" s="206"/>
      <c r="M402" s="206"/>
      <c r="N402" s="202"/>
      <c r="O402" s="202"/>
      <c r="P402" s="205"/>
      <c r="Q402" s="207"/>
      <c r="R402" s="202"/>
      <c r="S402" s="202"/>
      <c r="T402" s="202"/>
      <c r="U402" s="203"/>
      <c r="V402" s="202"/>
      <c r="W402" s="202"/>
      <c r="X402" s="202"/>
    </row>
    <row r="403" spans="3:24" x14ac:dyDescent="0.45">
      <c r="C403" s="204"/>
      <c r="D403" s="205"/>
      <c r="E403" s="202"/>
      <c r="F403" s="202"/>
      <c r="G403" s="206"/>
      <c r="H403" s="206"/>
      <c r="I403" s="202"/>
      <c r="J403" s="219"/>
      <c r="K403" s="202"/>
      <c r="L403" s="206"/>
      <c r="M403" s="206"/>
      <c r="N403" s="202"/>
      <c r="O403" s="202"/>
      <c r="P403" s="205"/>
      <c r="Q403" s="207"/>
      <c r="R403" s="202"/>
      <c r="S403" s="202"/>
      <c r="T403" s="202"/>
      <c r="U403" s="203"/>
      <c r="V403" s="202"/>
      <c r="W403" s="202"/>
      <c r="X403" s="202"/>
    </row>
    <row r="404" spans="3:24" x14ac:dyDescent="0.45">
      <c r="C404" s="204"/>
      <c r="D404" s="205"/>
      <c r="E404" s="202"/>
      <c r="F404" s="202"/>
      <c r="G404" s="206"/>
      <c r="H404" s="206"/>
      <c r="I404" s="202"/>
      <c r="J404" s="219"/>
      <c r="K404" s="202"/>
      <c r="L404" s="206"/>
      <c r="M404" s="206"/>
      <c r="N404" s="202"/>
      <c r="O404" s="202"/>
      <c r="P404" s="205"/>
      <c r="Q404" s="207"/>
      <c r="R404" s="202"/>
      <c r="S404" s="202"/>
      <c r="T404" s="202"/>
      <c r="U404" s="203"/>
      <c r="V404" s="202"/>
      <c r="W404" s="202"/>
      <c r="X404" s="202"/>
    </row>
    <row r="405" spans="3:24" x14ac:dyDescent="0.45">
      <c r="C405" s="204"/>
      <c r="D405" s="205"/>
      <c r="E405" s="202"/>
      <c r="F405" s="202"/>
      <c r="G405" s="206"/>
      <c r="H405" s="206"/>
      <c r="I405" s="202"/>
      <c r="J405" s="219"/>
      <c r="K405" s="202"/>
      <c r="L405" s="206"/>
      <c r="M405" s="206"/>
      <c r="N405" s="202"/>
      <c r="O405" s="202"/>
      <c r="P405" s="205"/>
      <c r="Q405" s="207"/>
      <c r="R405" s="202"/>
      <c r="S405" s="202"/>
      <c r="T405" s="202"/>
      <c r="U405" s="203"/>
      <c r="V405" s="202"/>
      <c r="W405" s="202"/>
      <c r="X405" s="202"/>
    </row>
    <row r="406" spans="3:24" x14ac:dyDescent="0.45">
      <c r="C406" s="204"/>
      <c r="D406" s="205"/>
      <c r="E406" s="202"/>
      <c r="F406" s="202"/>
      <c r="G406" s="206"/>
      <c r="H406" s="206"/>
      <c r="I406" s="202"/>
      <c r="J406" s="219"/>
      <c r="K406" s="202"/>
      <c r="L406" s="206"/>
      <c r="M406" s="206"/>
      <c r="N406" s="202"/>
      <c r="O406" s="202"/>
      <c r="P406" s="205"/>
      <c r="Q406" s="207"/>
      <c r="R406" s="202"/>
      <c r="S406" s="202"/>
      <c r="T406" s="202"/>
      <c r="U406" s="203"/>
      <c r="V406" s="202"/>
      <c r="W406" s="202"/>
      <c r="X406" s="202"/>
    </row>
    <row r="407" spans="3:24" x14ac:dyDescent="0.45">
      <c r="C407" s="204"/>
      <c r="D407" s="205"/>
      <c r="E407" s="202"/>
      <c r="F407" s="202"/>
      <c r="G407" s="206"/>
      <c r="H407" s="206"/>
      <c r="I407" s="202"/>
      <c r="J407" s="219"/>
      <c r="K407" s="202"/>
      <c r="L407" s="206"/>
      <c r="M407" s="206"/>
      <c r="N407" s="202"/>
      <c r="O407" s="202"/>
      <c r="P407" s="205"/>
      <c r="Q407" s="207"/>
      <c r="R407" s="202"/>
      <c r="S407" s="202"/>
      <c r="T407" s="202"/>
      <c r="U407" s="203"/>
      <c r="V407" s="202"/>
      <c r="W407" s="202"/>
      <c r="X407" s="202"/>
    </row>
    <row r="408" spans="3:24" x14ac:dyDescent="0.45">
      <c r="C408" s="204"/>
      <c r="D408" s="205"/>
      <c r="E408" s="202"/>
      <c r="F408" s="202"/>
      <c r="G408" s="206"/>
      <c r="H408" s="206"/>
      <c r="I408" s="202"/>
      <c r="J408" s="219"/>
      <c r="K408" s="202"/>
      <c r="L408" s="206"/>
      <c r="M408" s="206"/>
      <c r="N408" s="202"/>
      <c r="O408" s="202"/>
      <c r="P408" s="205"/>
      <c r="Q408" s="207"/>
      <c r="R408" s="202"/>
      <c r="S408" s="202"/>
      <c r="T408" s="202"/>
      <c r="U408" s="203"/>
      <c r="V408" s="202"/>
      <c r="W408" s="202"/>
      <c r="X408" s="202"/>
    </row>
    <row r="409" spans="3:24" x14ac:dyDescent="0.45">
      <c r="C409" s="204"/>
      <c r="D409" s="205"/>
      <c r="E409" s="202"/>
      <c r="F409" s="202"/>
      <c r="G409" s="206"/>
      <c r="H409" s="206"/>
      <c r="I409" s="202"/>
      <c r="J409" s="219"/>
      <c r="K409" s="202"/>
      <c r="L409" s="206"/>
      <c r="M409" s="206"/>
      <c r="N409" s="202"/>
      <c r="O409" s="202"/>
      <c r="P409" s="205"/>
      <c r="Q409" s="207"/>
      <c r="R409" s="202"/>
      <c r="S409" s="202"/>
      <c r="T409" s="202"/>
      <c r="U409" s="203"/>
      <c r="V409" s="202"/>
      <c r="W409" s="202"/>
      <c r="X409" s="202"/>
    </row>
    <row r="410" spans="3:24" x14ac:dyDescent="0.45">
      <c r="C410" s="204"/>
      <c r="D410" s="205"/>
      <c r="E410" s="202"/>
      <c r="F410" s="202"/>
      <c r="G410" s="206"/>
      <c r="H410" s="206"/>
      <c r="I410" s="202"/>
      <c r="J410" s="219"/>
      <c r="K410" s="202"/>
      <c r="L410" s="206"/>
      <c r="M410" s="206"/>
      <c r="N410" s="202"/>
      <c r="O410" s="202"/>
      <c r="P410" s="205"/>
      <c r="Q410" s="207"/>
      <c r="R410" s="202"/>
      <c r="S410" s="202"/>
      <c r="T410" s="202"/>
      <c r="U410" s="203"/>
      <c r="V410" s="202"/>
      <c r="W410" s="202"/>
      <c r="X410" s="202"/>
    </row>
    <row r="411" spans="3:24" x14ac:dyDescent="0.45">
      <c r="C411" s="204"/>
      <c r="D411" s="205"/>
      <c r="E411" s="202"/>
      <c r="F411" s="202"/>
      <c r="G411" s="206"/>
      <c r="H411" s="206"/>
      <c r="I411" s="202"/>
      <c r="J411" s="219"/>
      <c r="K411" s="202"/>
      <c r="L411" s="206"/>
      <c r="M411" s="206"/>
      <c r="N411" s="202"/>
      <c r="O411" s="202"/>
      <c r="P411" s="205"/>
      <c r="Q411" s="207"/>
      <c r="R411" s="202"/>
      <c r="S411" s="202"/>
      <c r="T411" s="202"/>
      <c r="U411" s="203"/>
      <c r="V411" s="202"/>
      <c r="W411" s="202"/>
      <c r="X411" s="202"/>
    </row>
    <row r="412" spans="3:24" x14ac:dyDescent="0.45">
      <c r="C412" s="204"/>
      <c r="D412" s="205"/>
      <c r="E412" s="202"/>
      <c r="F412" s="202"/>
      <c r="G412" s="206"/>
      <c r="H412" s="206"/>
      <c r="I412" s="202"/>
      <c r="J412" s="219"/>
      <c r="K412" s="202"/>
      <c r="L412" s="206"/>
      <c r="M412" s="206"/>
      <c r="N412" s="202"/>
      <c r="O412" s="202"/>
      <c r="P412" s="205"/>
      <c r="Q412" s="207"/>
      <c r="R412" s="202"/>
      <c r="S412" s="202"/>
      <c r="T412" s="202"/>
      <c r="U412" s="203"/>
      <c r="V412" s="202"/>
      <c r="W412" s="202"/>
      <c r="X412" s="202"/>
    </row>
    <row r="413" spans="3:24" x14ac:dyDescent="0.45">
      <c r="C413" s="204"/>
      <c r="D413" s="205"/>
      <c r="E413" s="202"/>
      <c r="F413" s="202"/>
      <c r="G413" s="206"/>
      <c r="H413" s="206"/>
      <c r="I413" s="202"/>
      <c r="J413" s="219"/>
      <c r="K413" s="202"/>
      <c r="L413" s="206"/>
      <c r="M413" s="206"/>
      <c r="N413" s="202"/>
      <c r="O413" s="202"/>
      <c r="P413" s="205"/>
      <c r="Q413" s="207"/>
      <c r="R413" s="202"/>
      <c r="S413" s="202"/>
      <c r="T413" s="202"/>
      <c r="U413" s="203"/>
      <c r="V413" s="202"/>
      <c r="W413" s="202"/>
      <c r="X413" s="202"/>
    </row>
    <row r="414" spans="3:24" x14ac:dyDescent="0.45">
      <c r="C414" s="204"/>
      <c r="D414" s="205"/>
      <c r="E414" s="202"/>
      <c r="F414" s="202"/>
      <c r="G414" s="206"/>
      <c r="H414" s="206"/>
      <c r="I414" s="202"/>
      <c r="J414" s="219"/>
      <c r="K414" s="202"/>
      <c r="L414" s="206"/>
      <c r="M414" s="206"/>
      <c r="N414" s="202"/>
      <c r="O414" s="202"/>
      <c r="P414" s="205"/>
      <c r="Q414" s="207"/>
      <c r="R414" s="202"/>
      <c r="S414" s="202"/>
      <c r="T414" s="202"/>
      <c r="U414" s="203"/>
      <c r="V414" s="202"/>
      <c r="W414" s="202"/>
      <c r="X414" s="202"/>
    </row>
    <row r="415" spans="3:24" x14ac:dyDescent="0.45">
      <c r="C415" s="204"/>
      <c r="D415" s="205"/>
      <c r="E415" s="202"/>
      <c r="F415" s="202"/>
      <c r="G415" s="206"/>
      <c r="H415" s="206"/>
      <c r="I415" s="202"/>
      <c r="J415" s="219"/>
      <c r="K415" s="202"/>
      <c r="L415" s="206"/>
      <c r="M415" s="206"/>
      <c r="N415" s="202"/>
      <c r="O415" s="202"/>
      <c r="P415" s="205"/>
      <c r="Q415" s="207"/>
      <c r="R415" s="202"/>
      <c r="S415" s="202"/>
      <c r="T415" s="202"/>
      <c r="U415" s="203"/>
      <c r="V415" s="202"/>
      <c r="W415" s="202"/>
      <c r="X415" s="202"/>
    </row>
    <row r="416" spans="3:24" x14ac:dyDescent="0.45">
      <c r="C416" s="204"/>
      <c r="D416" s="205"/>
      <c r="E416" s="202"/>
      <c r="F416" s="202"/>
      <c r="G416" s="206"/>
      <c r="H416" s="206"/>
      <c r="I416" s="202"/>
      <c r="J416" s="219"/>
      <c r="K416" s="202"/>
      <c r="L416" s="206"/>
      <c r="M416" s="206"/>
      <c r="N416" s="202"/>
      <c r="O416" s="202"/>
      <c r="P416" s="205"/>
      <c r="Q416" s="207"/>
      <c r="R416" s="202"/>
      <c r="S416" s="202"/>
      <c r="T416" s="202"/>
      <c r="U416" s="203"/>
      <c r="V416" s="202"/>
      <c r="W416" s="202"/>
      <c r="X416" s="202"/>
    </row>
    <row r="417" spans="3:24" x14ac:dyDescent="0.45">
      <c r="C417" s="204"/>
      <c r="D417" s="205"/>
      <c r="E417" s="202"/>
      <c r="F417" s="202"/>
      <c r="G417" s="206"/>
      <c r="H417" s="206"/>
      <c r="I417" s="202"/>
      <c r="J417" s="219"/>
      <c r="K417" s="202"/>
      <c r="L417" s="206"/>
      <c r="M417" s="206"/>
      <c r="N417" s="202"/>
      <c r="O417" s="202"/>
      <c r="P417" s="205"/>
      <c r="Q417" s="207"/>
      <c r="R417" s="202"/>
      <c r="S417" s="202"/>
      <c r="T417" s="202"/>
      <c r="U417" s="203"/>
      <c r="V417" s="202"/>
      <c r="W417" s="202"/>
      <c r="X417" s="202"/>
    </row>
    <row r="418" spans="3:24" x14ac:dyDescent="0.45">
      <c r="C418" s="204"/>
      <c r="D418" s="205"/>
      <c r="E418" s="202"/>
      <c r="F418" s="202"/>
      <c r="G418" s="206"/>
      <c r="H418" s="206"/>
      <c r="I418" s="202"/>
      <c r="J418" s="219"/>
      <c r="K418" s="202"/>
      <c r="L418" s="206"/>
      <c r="M418" s="206"/>
      <c r="N418" s="202"/>
      <c r="O418" s="202"/>
      <c r="P418" s="205"/>
      <c r="Q418" s="207"/>
      <c r="R418" s="202"/>
      <c r="S418" s="202"/>
      <c r="T418" s="202"/>
      <c r="U418" s="203"/>
      <c r="V418" s="202"/>
      <c r="W418" s="202"/>
      <c r="X418" s="202"/>
    </row>
    <row r="419" spans="3:24" x14ac:dyDescent="0.45">
      <c r="C419" s="204"/>
      <c r="D419" s="205"/>
      <c r="E419" s="202"/>
      <c r="F419" s="202"/>
      <c r="G419" s="206"/>
      <c r="H419" s="206"/>
      <c r="I419" s="202"/>
      <c r="J419" s="219"/>
      <c r="K419" s="202"/>
      <c r="L419" s="206"/>
      <c r="M419" s="206"/>
      <c r="N419" s="202"/>
      <c r="O419" s="202"/>
      <c r="P419" s="205"/>
      <c r="Q419" s="207"/>
      <c r="R419" s="202"/>
      <c r="S419" s="202"/>
      <c r="T419" s="202"/>
      <c r="U419" s="203"/>
      <c r="V419" s="202"/>
      <c r="W419" s="202"/>
      <c r="X419" s="202"/>
    </row>
    <row r="420" spans="3:24" x14ac:dyDescent="0.45">
      <c r="C420" s="204"/>
      <c r="D420" s="205"/>
      <c r="E420" s="202"/>
      <c r="F420" s="202"/>
      <c r="G420" s="206"/>
      <c r="H420" s="206"/>
      <c r="I420" s="202"/>
      <c r="J420" s="219"/>
      <c r="K420" s="202"/>
      <c r="L420" s="206"/>
      <c r="M420" s="206"/>
      <c r="N420" s="202"/>
      <c r="O420" s="202"/>
      <c r="P420" s="205"/>
      <c r="Q420" s="207"/>
      <c r="R420" s="202"/>
      <c r="S420" s="202"/>
      <c r="T420" s="202"/>
      <c r="U420" s="203"/>
      <c r="V420" s="202"/>
      <c r="W420" s="202"/>
      <c r="X420" s="202"/>
    </row>
    <row r="421" spans="3:24" x14ac:dyDescent="0.45">
      <c r="C421" s="204"/>
      <c r="D421" s="205"/>
      <c r="E421" s="202"/>
      <c r="F421" s="202"/>
      <c r="G421" s="206"/>
      <c r="H421" s="206"/>
      <c r="I421" s="202"/>
      <c r="J421" s="219"/>
      <c r="K421" s="202"/>
      <c r="L421" s="206"/>
      <c r="M421" s="206"/>
      <c r="N421" s="202"/>
      <c r="O421" s="202"/>
      <c r="P421" s="205"/>
      <c r="Q421" s="207"/>
      <c r="R421" s="202"/>
      <c r="S421" s="202"/>
      <c r="T421" s="202"/>
      <c r="U421" s="203"/>
      <c r="V421" s="202"/>
      <c r="W421" s="202"/>
      <c r="X421" s="202"/>
    </row>
    <row r="422" spans="3:24" x14ac:dyDescent="0.45">
      <c r="C422" s="204"/>
      <c r="D422" s="205"/>
      <c r="E422" s="202"/>
      <c r="F422" s="202"/>
      <c r="G422" s="206"/>
      <c r="H422" s="206"/>
      <c r="I422" s="202"/>
      <c r="J422" s="219"/>
      <c r="K422" s="202"/>
      <c r="L422" s="206"/>
      <c r="M422" s="206"/>
      <c r="N422" s="202"/>
      <c r="O422" s="202"/>
      <c r="P422" s="205"/>
      <c r="Q422" s="207"/>
      <c r="R422" s="202"/>
      <c r="S422" s="202"/>
      <c r="T422" s="202"/>
      <c r="U422" s="203"/>
      <c r="V422" s="202"/>
      <c r="W422" s="202"/>
      <c r="X422" s="202"/>
    </row>
    <row r="423" spans="3:24" x14ac:dyDescent="0.45">
      <c r="C423" s="204"/>
      <c r="D423" s="205"/>
      <c r="E423" s="202"/>
      <c r="F423" s="202"/>
      <c r="G423" s="206"/>
      <c r="H423" s="206"/>
      <c r="I423" s="202"/>
      <c r="J423" s="219"/>
      <c r="K423" s="202"/>
      <c r="L423" s="206"/>
      <c r="M423" s="206"/>
      <c r="N423" s="202"/>
      <c r="O423" s="202"/>
      <c r="P423" s="205"/>
      <c r="Q423" s="207"/>
      <c r="R423" s="202"/>
      <c r="S423" s="202"/>
      <c r="T423" s="202"/>
      <c r="U423" s="203"/>
      <c r="V423" s="202"/>
      <c r="W423" s="202"/>
      <c r="X423" s="202"/>
    </row>
    <row r="424" spans="3:24" x14ac:dyDescent="0.45">
      <c r="C424" s="204"/>
      <c r="D424" s="205"/>
      <c r="E424" s="202"/>
      <c r="F424" s="202"/>
      <c r="G424" s="206"/>
      <c r="H424" s="206"/>
      <c r="I424" s="202"/>
      <c r="J424" s="219"/>
      <c r="K424" s="202"/>
      <c r="L424" s="206"/>
      <c r="M424" s="206"/>
      <c r="N424" s="202"/>
      <c r="O424" s="202"/>
      <c r="P424" s="205"/>
      <c r="Q424" s="207"/>
      <c r="R424" s="202"/>
      <c r="S424" s="202"/>
      <c r="T424" s="202"/>
      <c r="U424" s="203"/>
      <c r="V424" s="202"/>
      <c r="W424" s="202"/>
      <c r="X424" s="202"/>
    </row>
    <row r="425" spans="3:24" x14ac:dyDescent="0.45">
      <c r="C425" s="204"/>
      <c r="D425" s="205"/>
      <c r="E425" s="202"/>
      <c r="F425" s="202"/>
      <c r="G425" s="206"/>
      <c r="H425" s="206"/>
      <c r="I425" s="202"/>
      <c r="J425" s="219"/>
      <c r="K425" s="202"/>
      <c r="L425" s="206"/>
      <c r="M425" s="206"/>
      <c r="N425" s="202"/>
      <c r="O425" s="202"/>
      <c r="P425" s="205"/>
      <c r="Q425" s="207"/>
      <c r="R425" s="202"/>
      <c r="S425" s="202"/>
      <c r="T425" s="202"/>
      <c r="U425" s="203"/>
      <c r="V425" s="202"/>
      <c r="W425" s="202"/>
      <c r="X425" s="202"/>
    </row>
    <row r="426" spans="3:24" x14ac:dyDescent="0.45">
      <c r="C426" s="204"/>
      <c r="D426" s="205"/>
      <c r="E426" s="202"/>
      <c r="F426" s="202"/>
      <c r="G426" s="206"/>
      <c r="H426" s="206"/>
      <c r="I426" s="202"/>
      <c r="J426" s="219"/>
      <c r="K426" s="202"/>
      <c r="L426" s="206"/>
      <c r="M426" s="206"/>
      <c r="N426" s="202"/>
      <c r="O426" s="202"/>
      <c r="P426" s="205"/>
      <c r="Q426" s="207"/>
      <c r="R426" s="202"/>
      <c r="S426" s="202"/>
      <c r="T426" s="202"/>
      <c r="U426" s="203"/>
      <c r="V426" s="202"/>
      <c r="W426" s="202"/>
      <c r="X426" s="202"/>
    </row>
    <row r="427" spans="3:24" x14ac:dyDescent="0.45">
      <c r="C427" s="204"/>
      <c r="D427" s="205"/>
      <c r="E427" s="202"/>
      <c r="F427" s="202"/>
      <c r="G427" s="206"/>
      <c r="H427" s="206"/>
      <c r="I427" s="202"/>
      <c r="J427" s="219"/>
      <c r="K427" s="202"/>
      <c r="L427" s="206"/>
      <c r="M427" s="206"/>
      <c r="N427" s="202"/>
      <c r="O427" s="202"/>
      <c r="P427" s="205"/>
      <c r="Q427" s="207"/>
      <c r="R427" s="202"/>
      <c r="S427" s="202"/>
      <c r="T427" s="202"/>
      <c r="U427" s="203"/>
      <c r="V427" s="202"/>
      <c r="W427" s="202"/>
      <c r="X427" s="202"/>
    </row>
    <row r="428" spans="3:24" x14ac:dyDescent="0.45">
      <c r="C428" s="204"/>
      <c r="D428" s="205"/>
      <c r="E428" s="202"/>
      <c r="F428" s="202"/>
      <c r="G428" s="206"/>
      <c r="H428" s="206"/>
      <c r="I428" s="202"/>
      <c r="J428" s="219"/>
      <c r="K428" s="202"/>
      <c r="L428" s="206"/>
      <c r="M428" s="206"/>
      <c r="N428" s="202"/>
      <c r="O428" s="202"/>
      <c r="P428" s="205"/>
      <c r="Q428" s="207"/>
      <c r="R428" s="202"/>
      <c r="S428" s="202"/>
      <c r="T428" s="202"/>
      <c r="U428" s="203"/>
      <c r="V428" s="202"/>
      <c r="W428" s="202"/>
      <c r="X428" s="202"/>
    </row>
    <row r="429" spans="3:24" x14ac:dyDescent="0.45">
      <c r="C429" s="204"/>
      <c r="D429" s="205"/>
      <c r="E429" s="202"/>
      <c r="F429" s="202"/>
      <c r="G429" s="206"/>
      <c r="H429" s="206"/>
      <c r="I429" s="202"/>
      <c r="J429" s="219"/>
      <c r="K429" s="202"/>
      <c r="L429" s="206"/>
      <c r="M429" s="206"/>
      <c r="N429" s="202"/>
      <c r="O429" s="202"/>
      <c r="P429" s="205"/>
      <c r="Q429" s="207"/>
      <c r="R429" s="202"/>
      <c r="S429" s="202"/>
      <c r="T429" s="202"/>
      <c r="U429" s="203"/>
      <c r="V429" s="202"/>
      <c r="W429" s="202"/>
      <c r="X429" s="202"/>
    </row>
    <row r="430" spans="3:24" x14ac:dyDescent="0.45">
      <c r="C430" s="204"/>
      <c r="D430" s="205"/>
      <c r="E430" s="202"/>
      <c r="F430" s="202"/>
      <c r="G430" s="206"/>
      <c r="H430" s="206"/>
      <c r="I430" s="202"/>
      <c r="J430" s="219"/>
      <c r="K430" s="202"/>
      <c r="L430" s="206"/>
      <c r="M430" s="206"/>
      <c r="N430" s="202"/>
      <c r="O430" s="202"/>
      <c r="P430" s="205"/>
      <c r="Q430" s="207"/>
      <c r="R430" s="202"/>
      <c r="S430" s="202"/>
      <c r="T430" s="202"/>
      <c r="U430" s="203"/>
      <c r="V430" s="202"/>
      <c r="W430" s="202"/>
      <c r="X430" s="202"/>
    </row>
    <row r="431" spans="3:24" x14ac:dyDescent="0.45">
      <c r="C431" s="204"/>
      <c r="D431" s="205"/>
      <c r="E431" s="202"/>
      <c r="F431" s="202"/>
      <c r="G431" s="206"/>
      <c r="H431" s="206"/>
      <c r="I431" s="202"/>
      <c r="J431" s="219"/>
      <c r="K431" s="202"/>
      <c r="L431" s="206"/>
      <c r="M431" s="206"/>
      <c r="N431" s="202"/>
      <c r="O431" s="202"/>
      <c r="P431" s="205"/>
      <c r="Q431" s="207"/>
      <c r="R431" s="202"/>
      <c r="S431" s="202"/>
      <c r="T431" s="202"/>
      <c r="U431" s="203"/>
      <c r="V431" s="202"/>
      <c r="W431" s="202"/>
      <c r="X431" s="202"/>
    </row>
    <row r="432" spans="3:24" x14ac:dyDescent="0.45">
      <c r="C432" s="204"/>
      <c r="D432" s="205"/>
      <c r="E432" s="202"/>
      <c r="F432" s="202"/>
      <c r="G432" s="206"/>
      <c r="H432" s="206"/>
      <c r="I432" s="202"/>
      <c r="J432" s="219"/>
      <c r="K432" s="202"/>
      <c r="L432" s="206"/>
      <c r="M432" s="206"/>
      <c r="N432" s="202"/>
      <c r="O432" s="202"/>
      <c r="P432" s="205"/>
      <c r="Q432" s="207"/>
      <c r="R432" s="202"/>
      <c r="S432" s="202"/>
      <c r="T432" s="202"/>
      <c r="U432" s="203"/>
      <c r="V432" s="202"/>
      <c r="W432" s="202"/>
      <c r="X432" s="202"/>
    </row>
    <row r="433" spans="3:24" x14ac:dyDescent="0.45">
      <c r="C433" s="204"/>
      <c r="D433" s="205"/>
      <c r="E433" s="202"/>
      <c r="F433" s="202"/>
      <c r="G433" s="206"/>
      <c r="H433" s="206"/>
      <c r="I433" s="202"/>
      <c r="J433" s="219"/>
      <c r="K433" s="202"/>
      <c r="L433" s="206"/>
      <c r="M433" s="206"/>
      <c r="N433" s="202"/>
      <c r="O433" s="202"/>
      <c r="P433" s="205"/>
      <c r="Q433" s="207"/>
      <c r="R433" s="202"/>
      <c r="S433" s="202"/>
      <c r="T433" s="202"/>
      <c r="U433" s="203"/>
      <c r="V433" s="202"/>
      <c r="W433" s="202"/>
      <c r="X433" s="202"/>
    </row>
    <row r="434" spans="3:24" x14ac:dyDescent="0.45">
      <c r="C434" s="204"/>
      <c r="D434" s="205"/>
      <c r="E434" s="202"/>
      <c r="F434" s="202"/>
      <c r="G434" s="206"/>
      <c r="H434" s="206"/>
      <c r="I434" s="202"/>
      <c r="J434" s="219"/>
      <c r="K434" s="202"/>
      <c r="L434" s="206"/>
      <c r="M434" s="206"/>
      <c r="N434" s="202"/>
      <c r="O434" s="202"/>
      <c r="P434" s="205"/>
      <c r="Q434" s="207"/>
      <c r="R434" s="202"/>
      <c r="S434" s="202"/>
      <c r="T434" s="202"/>
      <c r="U434" s="203"/>
      <c r="V434" s="202"/>
      <c r="W434" s="202"/>
      <c r="X434" s="202"/>
    </row>
    <row r="435" spans="3:24" x14ac:dyDescent="0.45">
      <c r="C435" s="204"/>
      <c r="D435" s="205"/>
      <c r="E435" s="202"/>
      <c r="F435" s="202"/>
      <c r="G435" s="206"/>
      <c r="H435" s="206"/>
      <c r="I435" s="202"/>
      <c r="J435" s="219"/>
      <c r="K435" s="202"/>
      <c r="L435" s="206"/>
      <c r="M435" s="206"/>
      <c r="N435" s="202"/>
      <c r="O435" s="202"/>
      <c r="P435" s="205"/>
      <c r="Q435" s="207"/>
      <c r="R435" s="202"/>
      <c r="S435" s="202"/>
      <c r="T435" s="202"/>
      <c r="U435" s="203"/>
      <c r="V435" s="202"/>
      <c r="W435" s="202"/>
      <c r="X435" s="202"/>
    </row>
    <row r="436" spans="3:24" x14ac:dyDescent="0.45">
      <c r="C436" s="204"/>
      <c r="D436" s="205"/>
      <c r="E436" s="202"/>
      <c r="F436" s="202"/>
      <c r="G436" s="206"/>
      <c r="H436" s="206"/>
      <c r="I436" s="202"/>
      <c r="J436" s="219"/>
      <c r="K436" s="202"/>
      <c r="L436" s="206"/>
      <c r="M436" s="206"/>
      <c r="N436" s="202"/>
      <c r="O436" s="202"/>
      <c r="P436" s="205"/>
      <c r="Q436" s="207"/>
      <c r="R436" s="202"/>
      <c r="S436" s="202"/>
      <c r="T436" s="202"/>
      <c r="U436" s="203"/>
      <c r="V436" s="202"/>
      <c r="W436" s="202"/>
      <c r="X436" s="202"/>
    </row>
    <row r="437" spans="3:24" x14ac:dyDescent="0.45">
      <c r="C437" s="204"/>
      <c r="D437" s="205"/>
      <c r="E437" s="202"/>
      <c r="F437" s="202"/>
      <c r="G437" s="206"/>
      <c r="H437" s="206"/>
      <c r="I437" s="202"/>
      <c r="J437" s="219"/>
      <c r="K437" s="202"/>
      <c r="L437" s="206"/>
      <c r="M437" s="206"/>
      <c r="N437" s="202"/>
      <c r="O437" s="202"/>
      <c r="P437" s="205"/>
      <c r="Q437" s="207"/>
      <c r="R437" s="202"/>
      <c r="S437" s="202"/>
      <c r="T437" s="202"/>
      <c r="U437" s="203"/>
      <c r="V437" s="202"/>
      <c r="W437" s="202"/>
      <c r="X437" s="202"/>
    </row>
    <row r="438" spans="3:24" x14ac:dyDescent="0.45">
      <c r="C438" s="204"/>
      <c r="D438" s="205"/>
      <c r="E438" s="202"/>
      <c r="F438" s="202"/>
      <c r="G438" s="206"/>
      <c r="H438" s="206"/>
      <c r="I438" s="202"/>
      <c r="J438" s="219"/>
      <c r="K438" s="202"/>
      <c r="L438" s="206"/>
      <c r="M438" s="206"/>
      <c r="N438" s="202"/>
      <c r="O438" s="202"/>
      <c r="P438" s="205"/>
      <c r="Q438" s="207"/>
      <c r="R438" s="202"/>
      <c r="S438" s="202"/>
      <c r="T438" s="202"/>
      <c r="U438" s="203"/>
      <c r="V438" s="202"/>
      <c r="W438" s="202"/>
      <c r="X438" s="202"/>
    </row>
    <row r="439" spans="3:24" x14ac:dyDescent="0.45">
      <c r="C439" s="204"/>
      <c r="D439" s="205"/>
      <c r="E439" s="202"/>
      <c r="F439" s="202"/>
      <c r="G439" s="206"/>
      <c r="H439" s="206"/>
      <c r="I439" s="202"/>
      <c r="J439" s="219"/>
      <c r="K439" s="202"/>
      <c r="L439" s="206"/>
      <c r="M439" s="206"/>
      <c r="N439" s="202"/>
      <c r="O439" s="202"/>
      <c r="P439" s="205"/>
      <c r="Q439" s="207"/>
      <c r="R439" s="202"/>
      <c r="S439" s="202"/>
      <c r="T439" s="202"/>
      <c r="U439" s="203"/>
      <c r="V439" s="202"/>
      <c r="W439" s="202"/>
      <c r="X439" s="202"/>
    </row>
    <row r="440" spans="3:24" x14ac:dyDescent="0.45">
      <c r="C440" s="204"/>
      <c r="D440" s="205"/>
      <c r="E440" s="202"/>
      <c r="F440" s="202"/>
      <c r="G440" s="206"/>
      <c r="H440" s="206"/>
      <c r="I440" s="202"/>
      <c r="J440" s="219"/>
      <c r="K440" s="202"/>
      <c r="L440" s="206"/>
      <c r="M440" s="206"/>
      <c r="N440" s="202"/>
      <c r="O440" s="202"/>
      <c r="P440" s="205"/>
      <c r="Q440" s="207"/>
      <c r="R440" s="202"/>
      <c r="S440" s="202"/>
      <c r="T440" s="202"/>
      <c r="U440" s="203"/>
      <c r="V440" s="202"/>
      <c r="W440" s="202"/>
      <c r="X440" s="202"/>
    </row>
    <row r="441" spans="3:24" x14ac:dyDescent="0.45">
      <c r="C441" s="204"/>
      <c r="D441" s="205"/>
      <c r="E441" s="202"/>
      <c r="F441" s="202"/>
      <c r="G441" s="206"/>
      <c r="H441" s="206"/>
      <c r="I441" s="202"/>
      <c r="J441" s="219"/>
      <c r="K441" s="202"/>
      <c r="L441" s="206"/>
      <c r="M441" s="206"/>
      <c r="N441" s="202"/>
      <c r="O441" s="202"/>
      <c r="P441" s="205"/>
      <c r="Q441" s="207"/>
      <c r="R441" s="202"/>
      <c r="S441" s="202"/>
      <c r="T441" s="202"/>
      <c r="U441" s="203"/>
      <c r="V441" s="202"/>
      <c r="W441" s="202"/>
      <c r="X441" s="202"/>
    </row>
    <row r="442" spans="3:24" x14ac:dyDescent="0.45">
      <c r="C442" s="204"/>
      <c r="D442" s="205"/>
      <c r="E442" s="202"/>
      <c r="F442" s="202"/>
      <c r="G442" s="206"/>
      <c r="H442" s="206"/>
      <c r="I442" s="202"/>
      <c r="J442" s="219"/>
      <c r="K442" s="202"/>
      <c r="L442" s="206"/>
      <c r="M442" s="206"/>
      <c r="N442" s="202"/>
      <c r="O442" s="202"/>
      <c r="P442" s="205"/>
      <c r="Q442" s="207"/>
      <c r="R442" s="202"/>
      <c r="S442" s="202"/>
      <c r="T442" s="202"/>
      <c r="U442" s="203"/>
      <c r="V442" s="202"/>
      <c r="W442" s="202"/>
      <c r="X442" s="202"/>
    </row>
    <row r="443" spans="3:24" x14ac:dyDescent="0.45">
      <c r="C443" s="204"/>
      <c r="D443" s="205"/>
      <c r="E443" s="202"/>
      <c r="F443" s="202"/>
      <c r="G443" s="206"/>
      <c r="H443" s="206"/>
      <c r="I443" s="202"/>
      <c r="J443" s="219"/>
      <c r="K443" s="202"/>
      <c r="L443" s="206"/>
      <c r="M443" s="206"/>
      <c r="N443" s="202"/>
      <c r="O443" s="202"/>
      <c r="P443" s="205"/>
      <c r="Q443" s="207"/>
      <c r="R443" s="202"/>
      <c r="S443" s="202"/>
      <c r="T443" s="202"/>
      <c r="U443" s="203"/>
      <c r="V443" s="202"/>
      <c r="W443" s="202"/>
      <c r="X443" s="202"/>
    </row>
    <row r="444" spans="3:24" x14ac:dyDescent="0.45">
      <c r="C444" s="204"/>
      <c r="D444" s="205"/>
      <c r="E444" s="202"/>
      <c r="F444" s="202"/>
      <c r="G444" s="206"/>
      <c r="H444" s="206"/>
      <c r="I444" s="202"/>
      <c r="J444" s="219"/>
      <c r="K444" s="202"/>
      <c r="L444" s="206"/>
      <c r="M444" s="206"/>
      <c r="N444" s="202"/>
      <c r="O444" s="202"/>
      <c r="P444" s="205"/>
      <c r="Q444" s="207"/>
      <c r="R444" s="202"/>
      <c r="S444" s="202"/>
      <c r="T444" s="202"/>
      <c r="U444" s="203"/>
      <c r="V444" s="202"/>
      <c r="W444" s="202"/>
      <c r="X444" s="202"/>
    </row>
    <row r="445" spans="3:24" x14ac:dyDescent="0.45">
      <c r="C445" s="204"/>
      <c r="D445" s="205"/>
      <c r="E445" s="202"/>
      <c r="F445" s="202"/>
      <c r="G445" s="206"/>
      <c r="H445" s="206"/>
      <c r="I445" s="202"/>
      <c r="J445" s="219"/>
      <c r="K445" s="202"/>
      <c r="L445" s="206"/>
      <c r="M445" s="206"/>
      <c r="N445" s="202"/>
      <c r="O445" s="202"/>
      <c r="P445" s="205"/>
      <c r="Q445" s="207"/>
      <c r="R445" s="202"/>
      <c r="S445" s="202"/>
      <c r="T445" s="202"/>
      <c r="U445" s="203"/>
      <c r="V445" s="202"/>
      <c r="W445" s="202"/>
      <c r="X445" s="202"/>
    </row>
    <row r="446" spans="3:24" x14ac:dyDescent="0.45">
      <c r="C446" s="204"/>
      <c r="D446" s="205"/>
      <c r="E446" s="202"/>
      <c r="F446" s="202"/>
      <c r="G446" s="206"/>
      <c r="H446" s="206"/>
      <c r="I446" s="202"/>
      <c r="J446" s="219"/>
      <c r="K446" s="202"/>
      <c r="L446" s="206"/>
      <c r="M446" s="206"/>
      <c r="N446" s="202"/>
      <c r="O446" s="202"/>
      <c r="P446" s="205"/>
      <c r="Q446" s="207"/>
      <c r="R446" s="202"/>
      <c r="S446" s="202"/>
      <c r="T446" s="202"/>
      <c r="U446" s="203"/>
      <c r="V446" s="202"/>
      <c r="W446" s="202"/>
      <c r="X446" s="202"/>
    </row>
    <row r="447" spans="3:24" x14ac:dyDescent="0.45">
      <c r="C447" s="204"/>
      <c r="D447" s="205"/>
      <c r="E447" s="202"/>
      <c r="F447" s="202"/>
      <c r="G447" s="206"/>
      <c r="H447" s="206"/>
      <c r="I447" s="202"/>
      <c r="J447" s="219"/>
      <c r="K447" s="202"/>
      <c r="L447" s="206"/>
      <c r="M447" s="206"/>
      <c r="N447" s="202"/>
      <c r="O447" s="202"/>
      <c r="P447" s="205"/>
      <c r="Q447" s="207"/>
      <c r="R447" s="202"/>
      <c r="S447" s="202"/>
      <c r="T447" s="202"/>
      <c r="U447" s="203"/>
      <c r="V447" s="202"/>
      <c r="W447" s="202"/>
      <c r="X447" s="202"/>
    </row>
    <row r="448" spans="3:24" x14ac:dyDescent="0.45">
      <c r="C448" s="204"/>
      <c r="D448" s="205"/>
      <c r="E448" s="202"/>
      <c r="F448" s="202"/>
      <c r="G448" s="206"/>
      <c r="H448" s="206"/>
      <c r="I448" s="202"/>
      <c r="J448" s="219"/>
      <c r="K448" s="202"/>
      <c r="L448" s="206"/>
      <c r="M448" s="206"/>
      <c r="N448" s="202"/>
      <c r="O448" s="202"/>
      <c r="P448" s="205"/>
      <c r="Q448" s="207"/>
      <c r="R448" s="202"/>
      <c r="S448" s="202"/>
      <c r="T448" s="202"/>
      <c r="U448" s="203"/>
      <c r="V448" s="202"/>
      <c r="W448" s="202"/>
      <c r="X448" s="202"/>
    </row>
    <row r="449" spans="3:24" x14ac:dyDescent="0.45">
      <c r="C449" s="204"/>
      <c r="D449" s="205"/>
      <c r="E449" s="202"/>
      <c r="F449" s="202"/>
      <c r="G449" s="206"/>
      <c r="H449" s="206"/>
      <c r="I449" s="202"/>
      <c r="J449" s="219"/>
      <c r="K449" s="202"/>
      <c r="L449" s="206"/>
      <c r="M449" s="206"/>
      <c r="N449" s="202"/>
      <c r="O449" s="202"/>
      <c r="P449" s="205"/>
      <c r="Q449" s="207"/>
      <c r="R449" s="202"/>
      <c r="S449" s="202"/>
      <c r="T449" s="202"/>
      <c r="U449" s="203"/>
      <c r="V449" s="202"/>
      <c r="W449" s="202"/>
      <c r="X449" s="202"/>
    </row>
    <row r="450" spans="3:24" x14ac:dyDescent="0.45">
      <c r="C450" s="204"/>
      <c r="D450" s="205"/>
      <c r="E450" s="202"/>
      <c r="F450" s="202"/>
      <c r="G450" s="206"/>
      <c r="H450" s="206"/>
      <c r="I450" s="202"/>
      <c r="J450" s="219"/>
      <c r="K450" s="202"/>
      <c r="L450" s="206"/>
      <c r="M450" s="206"/>
      <c r="N450" s="202"/>
      <c r="O450" s="202"/>
      <c r="P450" s="205"/>
      <c r="Q450" s="207"/>
      <c r="R450" s="202"/>
      <c r="S450" s="202"/>
      <c r="T450" s="202"/>
      <c r="U450" s="203"/>
      <c r="V450" s="202"/>
      <c r="W450" s="202"/>
      <c r="X450" s="202"/>
    </row>
    <row r="451" spans="3:24" x14ac:dyDescent="0.45">
      <c r="C451" s="204"/>
      <c r="D451" s="205"/>
      <c r="E451" s="202"/>
      <c r="F451" s="202"/>
      <c r="G451" s="206"/>
      <c r="H451" s="206"/>
      <c r="I451" s="202"/>
      <c r="J451" s="219"/>
      <c r="K451" s="202"/>
      <c r="L451" s="206"/>
      <c r="M451" s="206"/>
      <c r="N451" s="202"/>
      <c r="O451" s="202"/>
      <c r="P451" s="205"/>
      <c r="Q451" s="207"/>
      <c r="R451" s="202"/>
      <c r="S451" s="202"/>
      <c r="T451" s="202"/>
      <c r="U451" s="203"/>
      <c r="V451" s="202"/>
      <c r="W451" s="202"/>
      <c r="X451" s="202"/>
    </row>
    <row r="452" spans="3:24" x14ac:dyDescent="0.45">
      <c r="C452" s="204"/>
      <c r="D452" s="205"/>
      <c r="E452" s="202"/>
      <c r="F452" s="202"/>
      <c r="G452" s="206"/>
      <c r="H452" s="206"/>
      <c r="I452" s="202"/>
      <c r="J452" s="219"/>
      <c r="K452" s="202"/>
      <c r="L452" s="206"/>
      <c r="M452" s="206"/>
      <c r="N452" s="202"/>
      <c r="O452" s="202"/>
      <c r="P452" s="205"/>
      <c r="Q452" s="207"/>
      <c r="R452" s="202"/>
      <c r="S452" s="202"/>
      <c r="T452" s="202"/>
      <c r="U452" s="203"/>
      <c r="V452" s="202"/>
      <c r="W452" s="202"/>
      <c r="X452" s="202"/>
    </row>
    <row r="453" spans="3:24" x14ac:dyDescent="0.45">
      <c r="C453" s="204"/>
      <c r="D453" s="205"/>
      <c r="E453" s="202"/>
      <c r="F453" s="202"/>
      <c r="G453" s="206"/>
      <c r="H453" s="206"/>
      <c r="I453" s="202"/>
      <c r="J453" s="219"/>
      <c r="K453" s="202"/>
      <c r="L453" s="206"/>
      <c r="M453" s="206"/>
      <c r="N453" s="202"/>
      <c r="O453" s="202"/>
      <c r="P453" s="205"/>
      <c r="Q453" s="207"/>
      <c r="R453" s="202"/>
      <c r="S453" s="202"/>
      <c r="T453" s="202"/>
      <c r="U453" s="203"/>
      <c r="V453" s="202"/>
      <c r="W453" s="202"/>
      <c r="X453" s="202"/>
    </row>
    <row r="454" spans="3:24" x14ac:dyDescent="0.45">
      <c r="C454" s="204"/>
      <c r="D454" s="205"/>
      <c r="E454" s="202"/>
      <c r="F454" s="202"/>
      <c r="G454" s="206"/>
      <c r="H454" s="206"/>
      <c r="I454" s="202"/>
      <c r="J454" s="219"/>
      <c r="K454" s="202"/>
      <c r="L454" s="206"/>
      <c r="M454" s="206"/>
      <c r="N454" s="202"/>
      <c r="O454" s="202"/>
      <c r="P454" s="205"/>
      <c r="Q454" s="207"/>
      <c r="R454" s="202"/>
      <c r="S454" s="202"/>
      <c r="T454" s="202"/>
      <c r="U454" s="203"/>
      <c r="V454" s="202"/>
      <c r="W454" s="202"/>
      <c r="X454" s="202"/>
    </row>
    <row r="455" spans="3:24" x14ac:dyDescent="0.45">
      <c r="C455" s="204"/>
      <c r="D455" s="205"/>
      <c r="E455" s="202"/>
      <c r="F455" s="202"/>
      <c r="G455" s="206"/>
      <c r="H455" s="206"/>
      <c r="I455" s="202"/>
      <c r="J455" s="219"/>
      <c r="K455" s="202"/>
      <c r="L455" s="206"/>
      <c r="M455" s="206"/>
      <c r="N455" s="202"/>
      <c r="O455" s="202"/>
      <c r="P455" s="205"/>
      <c r="Q455" s="207"/>
      <c r="R455" s="202"/>
      <c r="S455" s="202"/>
      <c r="T455" s="202"/>
      <c r="U455" s="203"/>
      <c r="V455" s="202"/>
      <c r="W455" s="202"/>
      <c r="X455" s="202"/>
    </row>
    <row r="456" spans="3:24" x14ac:dyDescent="0.45">
      <c r="C456" s="204"/>
      <c r="D456" s="205"/>
      <c r="E456" s="202"/>
      <c r="F456" s="202"/>
      <c r="G456" s="206"/>
      <c r="H456" s="206"/>
      <c r="I456" s="202"/>
      <c r="J456" s="219"/>
      <c r="K456" s="202"/>
      <c r="L456" s="206"/>
      <c r="M456" s="206"/>
      <c r="N456" s="202"/>
      <c r="O456" s="202"/>
      <c r="P456" s="205"/>
      <c r="Q456" s="207"/>
      <c r="R456" s="202"/>
      <c r="S456" s="202"/>
      <c r="T456" s="202"/>
      <c r="U456" s="203"/>
      <c r="V456" s="202"/>
      <c r="W456" s="202"/>
      <c r="X456" s="202"/>
    </row>
    <row r="457" spans="3:24" x14ac:dyDescent="0.45">
      <c r="C457" s="204"/>
      <c r="D457" s="205"/>
      <c r="E457" s="202"/>
      <c r="F457" s="202"/>
      <c r="G457" s="206"/>
      <c r="H457" s="206"/>
      <c r="I457" s="202"/>
      <c r="J457" s="219"/>
      <c r="K457" s="202"/>
      <c r="L457" s="206"/>
      <c r="M457" s="206"/>
      <c r="N457" s="202"/>
      <c r="O457" s="202"/>
      <c r="P457" s="205"/>
      <c r="Q457" s="207"/>
      <c r="R457" s="202"/>
      <c r="S457" s="202"/>
      <c r="T457" s="202"/>
      <c r="U457" s="203"/>
      <c r="V457" s="202"/>
      <c r="W457" s="202"/>
      <c r="X457" s="202"/>
    </row>
    <row r="458" spans="3:24" x14ac:dyDescent="0.45">
      <c r="C458" s="204"/>
      <c r="D458" s="205"/>
      <c r="E458" s="202"/>
      <c r="F458" s="202"/>
      <c r="G458" s="206"/>
      <c r="H458" s="206"/>
      <c r="I458" s="202"/>
      <c r="J458" s="219"/>
      <c r="K458" s="202"/>
      <c r="L458" s="206"/>
      <c r="M458" s="206"/>
      <c r="N458" s="202"/>
      <c r="O458" s="202"/>
      <c r="P458" s="205"/>
      <c r="Q458" s="207"/>
      <c r="R458" s="202"/>
      <c r="S458" s="202"/>
      <c r="T458" s="202"/>
      <c r="U458" s="203"/>
      <c r="V458" s="202"/>
      <c r="W458" s="202"/>
      <c r="X458" s="202"/>
    </row>
    <row r="459" spans="3:24" x14ac:dyDescent="0.45">
      <c r="C459" s="204"/>
      <c r="D459" s="205"/>
      <c r="E459" s="202"/>
      <c r="F459" s="202"/>
      <c r="G459" s="206"/>
      <c r="H459" s="206"/>
      <c r="I459" s="202"/>
      <c r="J459" s="219"/>
      <c r="K459" s="202"/>
      <c r="L459" s="206"/>
      <c r="M459" s="206"/>
      <c r="N459" s="202"/>
      <c r="O459" s="202"/>
      <c r="P459" s="205"/>
      <c r="Q459" s="207"/>
      <c r="R459" s="202"/>
      <c r="S459" s="202"/>
      <c r="T459" s="202"/>
      <c r="U459" s="203"/>
      <c r="V459" s="202"/>
      <c r="W459" s="202"/>
      <c r="X459" s="202"/>
    </row>
    <row r="460" spans="3:24" x14ac:dyDescent="0.45">
      <c r="C460" s="204"/>
      <c r="D460" s="205"/>
      <c r="E460" s="202"/>
      <c r="F460" s="202"/>
      <c r="G460" s="206"/>
      <c r="H460" s="206"/>
      <c r="I460" s="202"/>
      <c r="J460" s="219"/>
      <c r="K460" s="202"/>
      <c r="L460" s="206"/>
      <c r="M460" s="206"/>
      <c r="N460" s="202"/>
      <c r="O460" s="202"/>
      <c r="P460" s="205"/>
      <c r="Q460" s="207"/>
      <c r="R460" s="202"/>
      <c r="S460" s="202"/>
      <c r="T460" s="202"/>
      <c r="U460" s="203"/>
      <c r="V460" s="202"/>
      <c r="W460" s="202"/>
      <c r="X460" s="202"/>
    </row>
    <row r="461" spans="3:24" x14ac:dyDescent="0.45">
      <c r="C461" s="204"/>
      <c r="D461" s="205"/>
      <c r="E461" s="202"/>
      <c r="F461" s="202"/>
      <c r="G461" s="206"/>
      <c r="H461" s="206"/>
      <c r="I461" s="202"/>
      <c r="J461" s="219"/>
      <c r="K461" s="202"/>
      <c r="L461" s="206"/>
      <c r="M461" s="206"/>
      <c r="N461" s="202"/>
      <c r="O461" s="202"/>
      <c r="P461" s="205"/>
      <c r="Q461" s="207"/>
      <c r="R461" s="202"/>
      <c r="S461" s="202"/>
      <c r="T461" s="202"/>
      <c r="U461" s="203"/>
      <c r="V461" s="202"/>
      <c r="W461" s="202"/>
      <c r="X461" s="202"/>
    </row>
    <row r="462" spans="3:24" x14ac:dyDescent="0.45">
      <c r="C462" s="204"/>
      <c r="D462" s="205"/>
      <c r="E462" s="202"/>
      <c r="F462" s="202"/>
      <c r="G462" s="206"/>
      <c r="H462" s="206"/>
      <c r="I462" s="202"/>
      <c r="J462" s="219"/>
      <c r="K462" s="202"/>
      <c r="L462" s="206"/>
      <c r="M462" s="206"/>
      <c r="N462" s="202"/>
      <c r="O462" s="202"/>
      <c r="P462" s="205"/>
      <c r="Q462" s="207"/>
      <c r="R462" s="202"/>
      <c r="S462" s="202"/>
      <c r="T462" s="202"/>
      <c r="U462" s="203"/>
    </row>
    <row r="463" spans="3:24" x14ac:dyDescent="0.45">
      <c r="C463" s="204"/>
      <c r="D463" s="205"/>
      <c r="E463" s="202"/>
      <c r="F463" s="202"/>
      <c r="G463" s="206"/>
      <c r="H463" s="206"/>
      <c r="I463" s="202"/>
      <c r="J463" s="219"/>
      <c r="K463" s="202"/>
      <c r="L463" s="206"/>
      <c r="M463" s="206"/>
      <c r="N463" s="202"/>
      <c r="O463" s="202"/>
      <c r="P463" s="205"/>
      <c r="Q463" s="207"/>
      <c r="R463" s="202"/>
    </row>
    <row r="464" spans="3:24" x14ac:dyDescent="0.45">
      <c r="C464" s="204"/>
      <c r="D464" s="205"/>
      <c r="E464" s="202"/>
      <c r="F464" s="202"/>
      <c r="G464" s="206"/>
      <c r="H464" s="206"/>
      <c r="I464" s="202"/>
      <c r="J464" s="219"/>
      <c r="K464" s="202"/>
      <c r="L464" s="206"/>
      <c r="M464" s="206"/>
      <c r="N464" s="202"/>
      <c r="O464" s="202"/>
      <c r="P464" s="205"/>
      <c r="Q464" s="207"/>
      <c r="R464" s="202"/>
    </row>
  </sheetData>
  <mergeCells count="3">
    <mergeCell ref="C3:I3"/>
    <mergeCell ref="K3:Q3"/>
    <mergeCell ref="O1:Q2"/>
  </mergeCells>
  <conditionalFormatting sqref="C1:I1048576">
    <cfRule type="expression" dxfId="20" priority="3">
      <formula>AND($J1&lt;&gt;"",ROW()&gt;4,$J1&lt;$J$3)</formula>
    </cfRule>
    <cfRule type="expression" dxfId="19" priority="4">
      <formula>AND($J1&lt;&gt;"",ROW()&gt;4,$J1&gt;=$J$3)</formula>
    </cfRule>
  </conditionalFormatting>
  <conditionalFormatting sqref="K1:Q1048576">
    <cfRule type="expression" dxfId="18" priority="1">
      <formula>AND($J1&lt;&gt;"",ROW()&gt;4,$J1&lt;$J$3)</formula>
    </cfRule>
    <cfRule type="expression" dxfId="17" priority="2">
      <formula>AND($J1&lt;&gt;"",ROW()&gt;4,$J1&gt;=$J$3)</formula>
    </cfRule>
  </conditionalFormatting>
  <pageMargins left="0.7" right="0.7" top="0.75" bottom="0.75" header="0.3" footer="0.3"/>
  <pageSetup orientation="portrait"/>
  <ignoredErrors>
    <ignoredError sqref="A3" numberStoredAsText="1"/>
  </ignoredErrors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H36"/>
  <sheetViews>
    <sheetView workbookViewId="0"/>
  </sheetViews>
  <sheetFormatPr defaultRowHeight="15.4" x14ac:dyDescent="0.55000000000000004"/>
  <cols>
    <col min="1" max="1" width="12.9296875" style="22" bestFit="1" customWidth="1"/>
    <col min="2" max="2" width="13.86328125" style="244" customWidth="1"/>
    <col min="3" max="3" width="48.59765625" style="22" customWidth="1"/>
    <col min="4" max="4" width="16.73046875" style="22" bestFit="1" customWidth="1"/>
    <col min="5" max="5" width="4.6640625" style="22" customWidth="1"/>
    <col min="6" max="6" width="39.9296875" style="22" customWidth="1"/>
    <col min="7" max="7" width="131.73046875" style="22" customWidth="1"/>
    <col min="8" max="8" width="110.06640625" style="22" bestFit="1" customWidth="1"/>
    <col min="9" max="16384" width="9.06640625" style="22"/>
  </cols>
  <sheetData>
    <row r="1" spans="1:8" x14ac:dyDescent="0.55000000000000004">
      <c r="A1" s="2" t="s">
        <v>27</v>
      </c>
      <c r="B1" s="171" t="s">
        <v>579</v>
      </c>
      <c r="C1" s="280" t="e" vm="1">
        <v>#VALUE!</v>
      </c>
      <c r="D1" s="281"/>
      <c r="E1" s="255"/>
      <c r="F1" s="22" t="s">
        <v>660</v>
      </c>
    </row>
    <row r="2" spans="1:8" x14ac:dyDescent="0.55000000000000004">
      <c r="A2" s="267" t="str">
        <f>""&amp;Status!$A$2</f>
        <v/>
      </c>
      <c r="B2" s="247" t="s">
        <v>610</v>
      </c>
      <c r="C2" s="280"/>
      <c r="D2" s="281"/>
      <c r="E2" s="255"/>
      <c r="F2" s="22" t="s">
        <v>659</v>
      </c>
    </row>
    <row r="3" spans="1:8" x14ac:dyDescent="0.55000000000000004">
      <c r="A3" s="169"/>
      <c r="B3" s="246"/>
      <c r="C3" s="249" t="s">
        <v>577</v>
      </c>
      <c r="D3" s="250">
        <v>0</v>
      </c>
      <c r="E3" s="255"/>
      <c r="F3" s="22" t="s">
        <v>710</v>
      </c>
    </row>
    <row r="4" spans="1:8" ht="16.5" x14ac:dyDescent="0.6">
      <c r="A4" s="243"/>
      <c r="B4" s="245" t="s">
        <v>658</v>
      </c>
      <c r="C4" s="248"/>
      <c r="D4" s="251" t="s">
        <v>657</v>
      </c>
      <c r="E4" s="255"/>
      <c r="F4" s="22" t="s">
        <v>708</v>
      </c>
    </row>
    <row r="5" spans="1:8" x14ac:dyDescent="0.55000000000000004">
      <c r="A5" s="254" t="s">
        <v>0</v>
      </c>
      <c r="B5" s="256" t="s">
        <v>262</v>
      </c>
      <c r="C5" s="260" t="s">
        <v>481</v>
      </c>
      <c r="D5" s="261"/>
      <c r="F5" s="263" t="s">
        <v>709</v>
      </c>
      <c r="G5" s="264"/>
      <c r="H5" s="264"/>
    </row>
    <row r="6" spans="1:8" x14ac:dyDescent="0.55000000000000004">
      <c r="A6" s="254" t="s">
        <v>532</v>
      </c>
      <c r="B6" s="256" t="s">
        <v>445</v>
      </c>
      <c r="C6" s="260" t="s">
        <v>661</v>
      </c>
      <c r="D6" s="261"/>
    </row>
    <row r="7" spans="1:8" x14ac:dyDescent="0.55000000000000004">
      <c r="A7" s="254" t="s">
        <v>533</v>
      </c>
      <c r="B7" s="256">
        <v>5</v>
      </c>
      <c r="C7" s="260" t="s">
        <v>482</v>
      </c>
      <c r="D7" s="261"/>
    </row>
    <row r="8" spans="1:8" x14ac:dyDescent="0.55000000000000004">
      <c r="A8" s="254" t="s">
        <v>534</v>
      </c>
      <c r="B8" s="256" t="s">
        <v>483</v>
      </c>
      <c r="C8" s="260" t="s">
        <v>662</v>
      </c>
      <c r="D8" s="261"/>
    </row>
    <row r="9" spans="1:8" x14ac:dyDescent="0.55000000000000004">
      <c r="A9" s="254" t="s">
        <v>535</v>
      </c>
      <c r="B9" s="256">
        <v>100.25</v>
      </c>
      <c r="C9" s="260" t="s">
        <v>663</v>
      </c>
      <c r="D9" s="261"/>
      <c r="F9" s="274" t="s">
        <v>711</v>
      </c>
      <c r="G9" s="239"/>
    </row>
    <row r="10" spans="1:8" x14ac:dyDescent="0.55000000000000004">
      <c r="A10" s="254" t="s">
        <v>536</v>
      </c>
      <c r="B10" s="256"/>
      <c r="C10" s="260" t="s">
        <v>664</v>
      </c>
      <c r="D10" s="261"/>
      <c r="E10" s="262"/>
      <c r="F10" s="252" t="s">
        <v>491</v>
      </c>
      <c r="G10" s="252" t="s">
        <v>492</v>
      </c>
      <c r="H10" s="252" t="s">
        <v>493</v>
      </c>
    </row>
    <row r="11" spans="1:8" x14ac:dyDescent="0.55000000000000004">
      <c r="A11" s="254" t="s">
        <v>333</v>
      </c>
      <c r="B11" s="256"/>
      <c r="C11" s="260" t="s">
        <v>531</v>
      </c>
      <c r="D11" s="261"/>
      <c r="E11" s="262"/>
      <c r="F11" s="240" t="s">
        <v>494</v>
      </c>
      <c r="G11" s="253" t="s">
        <v>675</v>
      </c>
      <c r="H11" s="240" t="s">
        <v>569</v>
      </c>
    </row>
    <row r="12" spans="1:8" x14ac:dyDescent="0.55000000000000004">
      <c r="A12" s="254" t="s">
        <v>261</v>
      </c>
      <c r="B12" s="256"/>
      <c r="C12" s="260" t="s">
        <v>665</v>
      </c>
      <c r="D12" s="261"/>
      <c r="E12" s="262"/>
      <c r="F12" s="240" t="s">
        <v>559</v>
      </c>
      <c r="G12" s="253" t="s">
        <v>676</v>
      </c>
      <c r="H12" s="240" t="s">
        <v>568</v>
      </c>
    </row>
    <row r="13" spans="1:8" x14ac:dyDescent="0.55000000000000004">
      <c r="A13" s="254" t="s">
        <v>537</v>
      </c>
      <c r="B13" s="257"/>
      <c r="C13" s="260" t="s">
        <v>666</v>
      </c>
      <c r="D13" s="261"/>
      <c r="E13" s="262"/>
      <c r="F13" s="240" t="s">
        <v>560</v>
      </c>
      <c r="G13" s="253" t="s">
        <v>677</v>
      </c>
      <c r="H13" s="240" t="s">
        <v>567</v>
      </c>
    </row>
    <row r="14" spans="1:8" x14ac:dyDescent="0.55000000000000004">
      <c r="A14" s="254" t="s">
        <v>538</v>
      </c>
      <c r="B14" s="257"/>
      <c r="C14" s="260" t="s">
        <v>484</v>
      </c>
      <c r="D14" s="261"/>
      <c r="E14" s="262"/>
      <c r="F14" s="240" t="s">
        <v>655</v>
      </c>
      <c r="G14" s="253" t="s">
        <v>678</v>
      </c>
      <c r="H14" s="240" t="s">
        <v>566</v>
      </c>
    </row>
    <row r="15" spans="1:8" x14ac:dyDescent="0.55000000000000004">
      <c r="A15" s="254" t="s">
        <v>332</v>
      </c>
      <c r="B15" s="256"/>
      <c r="C15" s="260" t="s">
        <v>667</v>
      </c>
      <c r="D15" s="261"/>
      <c r="E15" s="262"/>
      <c r="F15" s="240" t="s">
        <v>524</v>
      </c>
      <c r="G15" s="253" t="s">
        <v>679</v>
      </c>
      <c r="H15" s="240" t="s">
        <v>570</v>
      </c>
    </row>
    <row r="16" spans="1:8" x14ac:dyDescent="0.55000000000000004">
      <c r="A16" s="254" t="s">
        <v>539</v>
      </c>
      <c r="B16" s="256"/>
      <c r="C16" s="260" t="s">
        <v>485</v>
      </c>
      <c r="D16" s="261"/>
      <c r="E16" s="262"/>
      <c r="F16" s="240" t="s">
        <v>525</v>
      </c>
      <c r="G16" s="253" t="s">
        <v>680</v>
      </c>
      <c r="H16" s="240" t="s">
        <v>571</v>
      </c>
    </row>
    <row r="17" spans="1:8" x14ac:dyDescent="0.55000000000000004">
      <c r="A17" s="254" t="s">
        <v>331</v>
      </c>
      <c r="B17" s="256"/>
      <c r="C17" s="260" t="s">
        <v>667</v>
      </c>
      <c r="D17" s="261"/>
      <c r="E17" s="262"/>
      <c r="F17" s="240" t="s">
        <v>526</v>
      </c>
      <c r="G17" s="253" t="s">
        <v>681</v>
      </c>
      <c r="H17" s="240" t="s">
        <v>564</v>
      </c>
    </row>
    <row r="18" spans="1:8" x14ac:dyDescent="0.55000000000000004">
      <c r="A18" s="254" t="s">
        <v>540</v>
      </c>
      <c r="B18" s="256"/>
      <c r="C18" s="260" t="s">
        <v>667</v>
      </c>
      <c r="D18" s="261"/>
      <c r="E18" s="262"/>
      <c r="F18" s="240" t="s">
        <v>656</v>
      </c>
      <c r="G18" s="253" t="s">
        <v>682</v>
      </c>
      <c r="H18" s="240" t="s">
        <v>565</v>
      </c>
    </row>
    <row r="19" spans="1:8" x14ac:dyDescent="0.55000000000000004">
      <c r="A19" s="254" t="s">
        <v>541</v>
      </c>
      <c r="B19" s="256"/>
      <c r="C19" s="260" t="s">
        <v>486</v>
      </c>
      <c r="D19" s="261"/>
      <c r="E19" s="262"/>
      <c r="F19" s="240" t="s">
        <v>551</v>
      </c>
      <c r="G19" s="253" t="s">
        <v>683</v>
      </c>
      <c r="H19" s="241" t="s">
        <v>585</v>
      </c>
    </row>
    <row r="20" spans="1:8" x14ac:dyDescent="0.55000000000000004">
      <c r="A20" s="254" t="s">
        <v>542</v>
      </c>
      <c r="B20" s="256"/>
      <c r="C20" s="260" t="s">
        <v>548</v>
      </c>
      <c r="D20" s="261"/>
      <c r="E20" s="262"/>
      <c r="F20" s="240" t="s">
        <v>584</v>
      </c>
      <c r="G20" s="253" t="s">
        <v>684</v>
      </c>
      <c r="H20" s="240"/>
    </row>
    <row r="21" spans="1:8" x14ac:dyDescent="0.55000000000000004">
      <c r="A21" s="254" t="s">
        <v>543</v>
      </c>
      <c r="B21" s="256"/>
      <c r="C21" s="260" t="s">
        <v>549</v>
      </c>
      <c r="D21" s="261"/>
      <c r="E21" s="262"/>
      <c r="F21" s="240" t="s">
        <v>561</v>
      </c>
      <c r="G21" s="253" t="s">
        <v>685</v>
      </c>
      <c r="H21" s="240" t="s">
        <v>563</v>
      </c>
    </row>
    <row r="22" spans="1:8" x14ac:dyDescent="0.55000000000000004">
      <c r="A22" s="254" t="s">
        <v>544</v>
      </c>
      <c r="B22" s="256"/>
      <c r="C22" s="260" t="s">
        <v>668</v>
      </c>
      <c r="D22" s="261"/>
      <c r="E22" s="262"/>
      <c r="F22" s="240" t="s">
        <v>562</v>
      </c>
      <c r="G22" s="253" t="s">
        <v>686</v>
      </c>
      <c r="H22" s="240" t="s">
        <v>572</v>
      </c>
    </row>
    <row r="23" spans="1:8" x14ac:dyDescent="0.55000000000000004">
      <c r="A23" s="254" t="s">
        <v>255</v>
      </c>
      <c r="B23" s="256"/>
      <c r="C23" s="260" t="s">
        <v>528</v>
      </c>
      <c r="D23" s="261"/>
      <c r="E23" s="262"/>
      <c r="F23" s="240" t="s">
        <v>476</v>
      </c>
      <c r="G23" s="253" t="s">
        <v>687</v>
      </c>
      <c r="H23" s="240"/>
    </row>
    <row r="24" spans="1:8" x14ac:dyDescent="0.55000000000000004">
      <c r="A24" s="254" t="s">
        <v>545</v>
      </c>
      <c r="B24" s="256"/>
      <c r="C24" s="260" t="s">
        <v>583</v>
      </c>
      <c r="D24" s="261"/>
      <c r="E24" s="262"/>
      <c r="F24" s="240" t="s">
        <v>552</v>
      </c>
      <c r="G24" s="253" t="s">
        <v>688</v>
      </c>
      <c r="H24" s="240" t="s">
        <v>573</v>
      </c>
    </row>
    <row r="25" spans="1:8" x14ac:dyDescent="0.55000000000000004">
      <c r="A25" s="254" t="s">
        <v>550</v>
      </c>
      <c r="B25" s="256"/>
      <c r="C25" s="260" t="s">
        <v>669</v>
      </c>
      <c r="D25" s="261"/>
      <c r="E25" s="262"/>
      <c r="F25" s="240" t="s">
        <v>527</v>
      </c>
      <c r="G25" s="253" t="s">
        <v>689</v>
      </c>
      <c r="H25" s="240"/>
    </row>
    <row r="26" spans="1:8" x14ac:dyDescent="0.55000000000000004">
      <c r="A26" s="254" t="s">
        <v>329</v>
      </c>
      <c r="B26" s="256"/>
      <c r="C26" s="260" t="s">
        <v>670</v>
      </c>
      <c r="D26" s="261"/>
      <c r="E26" s="262"/>
      <c r="F26" s="258" t="s">
        <v>495</v>
      </c>
      <c r="G26" s="259" t="s">
        <v>690</v>
      </c>
      <c r="H26" s="258"/>
    </row>
    <row r="27" spans="1:8" x14ac:dyDescent="0.55000000000000004">
      <c r="A27" s="254" t="s">
        <v>330</v>
      </c>
      <c r="B27" s="256"/>
      <c r="C27" s="260" t="s">
        <v>671</v>
      </c>
      <c r="D27" s="261"/>
      <c r="F27" s="242"/>
      <c r="G27" s="273" t="s">
        <v>574</v>
      </c>
      <c r="H27" s="240"/>
    </row>
    <row r="28" spans="1:8" x14ac:dyDescent="0.55000000000000004">
      <c r="A28" s="254" t="s">
        <v>554</v>
      </c>
      <c r="B28" s="256"/>
      <c r="C28" s="260" t="s">
        <v>672</v>
      </c>
      <c r="D28" s="261"/>
    </row>
    <row r="29" spans="1:8" x14ac:dyDescent="0.55000000000000004">
      <c r="A29" s="254" t="s">
        <v>16</v>
      </c>
      <c r="B29" s="256"/>
      <c r="C29" s="260" t="s">
        <v>673</v>
      </c>
      <c r="D29" s="261"/>
    </row>
    <row r="30" spans="1:8" x14ac:dyDescent="0.55000000000000004">
      <c r="A30" s="254" t="s">
        <v>555</v>
      </c>
      <c r="B30" s="257"/>
      <c r="C30" s="260" t="s">
        <v>487</v>
      </c>
      <c r="D30" s="261"/>
    </row>
    <row r="31" spans="1:8" x14ac:dyDescent="0.55000000000000004">
      <c r="A31" s="254" t="s">
        <v>450</v>
      </c>
      <c r="B31" s="256"/>
      <c r="C31" s="260" t="s">
        <v>488</v>
      </c>
      <c r="D31" s="261"/>
    </row>
    <row r="32" spans="1:8" x14ac:dyDescent="0.55000000000000004">
      <c r="A32" s="254" t="s">
        <v>546</v>
      </c>
      <c r="B32" s="256"/>
      <c r="C32" s="260" t="s">
        <v>674</v>
      </c>
      <c r="D32" s="261"/>
    </row>
    <row r="33" spans="1:4" x14ac:dyDescent="0.55000000000000004">
      <c r="A33" s="254" t="s">
        <v>556</v>
      </c>
      <c r="B33" s="256"/>
      <c r="C33" s="260" t="s">
        <v>489</v>
      </c>
      <c r="D33" s="261"/>
    </row>
    <row r="34" spans="1:4" x14ac:dyDescent="0.55000000000000004">
      <c r="A34" s="254" t="s">
        <v>557</v>
      </c>
      <c r="B34" s="257"/>
      <c r="C34" s="260" t="s">
        <v>529</v>
      </c>
      <c r="D34" s="261"/>
    </row>
    <row r="35" spans="1:4" x14ac:dyDescent="0.55000000000000004">
      <c r="A35" s="254" t="s">
        <v>547</v>
      </c>
      <c r="B35" s="256"/>
      <c r="C35" s="260" t="s">
        <v>530</v>
      </c>
      <c r="D35" s="261"/>
    </row>
    <row r="36" spans="1:4" x14ac:dyDescent="0.55000000000000004">
      <c r="A36" s="254" t="s">
        <v>558</v>
      </c>
      <c r="B36" s="256"/>
      <c r="C36" s="260" t="s">
        <v>490</v>
      </c>
      <c r="D36" s="261"/>
    </row>
  </sheetData>
  <mergeCells count="1">
    <mergeCell ref="C1:D2"/>
  </mergeCells>
  <conditionalFormatting sqref="B5:B8">
    <cfRule type="expression" dxfId="16" priority="5" stopIfTrue="1">
      <formula>B5=""</formula>
    </cfRule>
  </conditionalFormatting>
  <conditionalFormatting sqref="B9">
    <cfRule type="expression" dxfId="15" priority="6" stopIfTrue="1">
      <formula>AND(OR($B$8="LMT",$B$8="STP LMT"),$B$9="")</formula>
    </cfRule>
  </conditionalFormatting>
  <conditionalFormatting sqref="B10">
    <cfRule type="expression" dxfId="14" priority="7" stopIfTrue="1">
      <formula>AND(OR($B$8="STP",$B$8="STP LMT"),$B$10="")</formula>
    </cfRule>
    <cfRule type="expression" dxfId="13" priority="13" stopIfTrue="1">
      <formula>AND($B$10&lt;&gt;"",NOT(OR($B$8="STP",$B$8="STP LMT",$B$8="TRAIL",$B$8="TRAIL LIMIT")))</formula>
    </cfRule>
  </conditionalFormatting>
  <conditionalFormatting sqref="B10:B11">
    <cfRule type="expression" dxfId="12" priority="8" stopIfTrue="1">
      <formula>AND($B$8="TRAIL",($B$10="")=($B$11=""))</formula>
    </cfRule>
  </conditionalFormatting>
  <conditionalFormatting sqref="B12:B13">
    <cfRule type="expression" dxfId="11" priority="9" stopIfTrue="1">
      <formula>OR(AND($B$12="GTD",$B$13=""),AND($B$13&lt;&gt;"",$B$12&lt;&gt;"GTD"))</formula>
    </cfRule>
  </conditionalFormatting>
  <conditionalFormatting sqref="B20:B21">
    <cfRule type="expression" dxfId="10" priority="10" stopIfTrue="1">
      <formula>($B$20="")&lt;&gt;($B$21="")</formula>
    </cfRule>
  </conditionalFormatting>
  <conditionalFormatting sqref="B30:B32">
    <cfRule type="expression" dxfId="9" priority="11" stopIfTrue="1">
      <formula>AND(OR($B$28="OPT",$B$28="FOP"),$B$34="",OR($B$30="",$B$31="",$B$32=""))</formula>
    </cfRule>
  </conditionalFormatting>
  <conditionalFormatting sqref="B30">
    <cfRule type="expression" dxfId="8" priority="12" stopIfTrue="1">
      <formula>AND($B$28="FUT",$B$34="",$B$30="")</formula>
    </cfRule>
  </conditionalFormatting>
  <conditionalFormatting sqref="B11">
    <cfRule type="expression" dxfId="7" priority="14" stopIfTrue="1">
      <formula>AND($B$11&lt;&gt;"",NOT(OR($B$8="TRAIL",$B$8="TRAIL LIMIT")))</formula>
    </cfRule>
  </conditionalFormatting>
  <conditionalFormatting sqref="D5:E1000">
    <cfRule type="expression" dxfId="6" priority="15" stopIfTrue="1">
      <formula>LEFT($D5,5)="Error"</formula>
    </cfRule>
    <cfRule type="expression" dxfId="5" priority="16" stopIfTrue="1">
      <formula>$D5="Filled"</formula>
    </cfRule>
    <cfRule type="expression" dxfId="4" priority="17" stopIfTrue="1">
      <formula>OR($D5="PreSubmitted",$D5="Submitted",$D5="PendingCancel")</formula>
    </cfRule>
    <cfRule type="expression" dxfId="3" priority="18" stopIfTrue="1">
      <formula>OR($D5="Cancelled",$D5="ApiCancelled",$D5="Inactive")</formula>
    </cfRule>
    <cfRule type="expression" dxfId="2" priority="19" stopIfTrue="1">
      <formula>OR($D5="Staged",$D5="Sending")</formula>
    </cfRule>
  </conditionalFormatting>
  <conditionalFormatting sqref="A5:C36">
    <cfRule type="expression" dxfId="1" priority="4">
      <formula>ISEVEN(ROW())</formula>
    </cfRule>
  </conditionalFormatting>
  <conditionalFormatting sqref="F11:H26">
    <cfRule type="expression" dxfId="0" priority="1">
      <formula>ISODD(ROW())</formula>
    </cfRule>
  </conditionalFormatting>
  <dataValidations count="7">
    <dataValidation type="list" allowBlank="1" sqref="B6" xr:uid="{42AFF277-48F1-4B2B-8774-8EE29D1606C4}">
      <formula1>"BUY,SELL"</formula1>
    </dataValidation>
    <dataValidation type="list" allowBlank="1" sqref="B8" xr:uid="{12E812FE-0572-4C9D-9998-CBD56FF91BBF}">
      <formula1>"MKT,LMT,MIDPRICE,REL,STP,STP LMT,TRAIL,TRAIL LIMIT,MOC,LOC,LIT"</formula1>
    </dataValidation>
    <dataValidation type="list" allowBlank="1" sqref="B12" xr:uid="{0A1FF3DA-AC3B-41D8-9F33-A672F676B6A1}">
      <formula1>"DAY,GTC,IOC,FOK,OPG,GTD"</formula1>
    </dataValidation>
    <dataValidation type="list" allowBlank="1" sqref="B15 B22 B17:B18" xr:uid="{25E3EB31-FAC9-4F20-91F2-998067999049}">
      <formula1>"TRUE,FALSE"</formula1>
    </dataValidation>
    <dataValidation type="list" allowBlank="1" sqref="B21" xr:uid="{AB3E7FBE-D8CF-4B7C-9BF1-086993D4DFB4}">
      <formula1>"1,2,3"</formula1>
    </dataValidation>
    <dataValidation type="list" allowBlank="1" sqref="B28" xr:uid="{D1B86D0E-8714-464C-ABFE-ED8BFB53706D}">
      <formula1>"STK,OPT,FUT,FOP,CASH,IND,CFD,BOND,FUND,CMDTY,WAR"</formula1>
    </dataValidation>
    <dataValidation type="list" allowBlank="1" sqref="B32" xr:uid="{F789DC7D-D349-44C1-B47D-F926CC430693}">
      <formula1>"C,P"</formula1>
    </dataValidation>
  </dataValidations>
  <pageMargins left="0.7" right="0.7" top="0.75" bottom="0.75" header="0.3" footer="0.3"/>
  <pageSetup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Status</vt:lpstr>
      <vt:lpstr>Accounts</vt:lpstr>
      <vt:lpstr>Positions</vt:lpstr>
      <vt:lpstr>Orders</vt:lpstr>
      <vt:lpstr>MarketData</vt:lpstr>
      <vt:lpstr>Options</vt:lpstr>
      <vt:lpstr>StageOrder</vt:lpstr>
      <vt:lpstr>Accounts!DemoFormulas</vt:lpstr>
      <vt:lpstr>MarketData!DemoFormulas</vt:lpstr>
      <vt:lpstr>Options!DemoFormulas</vt:lpstr>
      <vt:lpstr>Orders!DemoFormulas</vt:lpstr>
      <vt:lpstr>Positions!DemoFormulas</vt:lpstr>
      <vt:lpstr>Status!DemoFormulas</vt:lpstr>
      <vt:lpstr>StageOrderForm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cp:lastModifiedBy>StreamXLS</cp:lastModifiedBy>
  <dcterms:created xsi:type="dcterms:W3CDTF">1996-10-14T23:33:28Z</dcterms:created>
  <dcterms:modified xsi:type="dcterms:W3CDTF">2026-10-08T16:27:16Z</dcterms:modified>
</cp:coreProperties>
</file>