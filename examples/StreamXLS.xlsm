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DF0FC7B1-A924-43B6-B11F-248A8EB50038}" xr6:coauthVersionLast="47" xr6:coauthVersionMax="47" xr10:uidLastSave="{00000000-0000-0000-0000-000000000000}"/>
  <bookViews>
    <workbookView xWindow="-98" yWindow="-98" windowWidth="28996" windowHeight="15675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MarketData!$B$6:$B$7,MarketData!$H$5:$H$13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StageOrderForm" comment="Bound of the StageOrder key/value form. Module1.SendOrder walks THIS range and refuses to stage if a key appears below it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7" l="1" a="1"/>
  <c r="E4" i="12" a="1"/>
  <c r="K4" i="12" a="1"/>
  <c r="D5" i="13" a="1"/>
  <c r="B5" i="13" a="1"/>
  <c r="A5" i="5" a="1"/>
  <c r="A7" i="8" a="1"/>
  <c r="K3" i="12"/>
  <c r="C3" i="12"/>
  <c r="V1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<sst xmlns="http://schemas.openxmlformats.org/spreadsheetml/2006/main" count="776" uniqueCount="733">
  <si>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</si>
  <si>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</si>
  <si>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</si>
  <si>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</si>
  <si>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</si>
  <si>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</si>
  <si>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</si>
  <si>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</si>
  <si>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</si>
  <si>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</si>
  <si>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</si>
  <si>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</si>
  <si>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</si>
  <si>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</si>
  <si>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</si>
  <si>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</si>
  <si>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</si>
  <si>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</si>
  <si>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</si>
  <si>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</si>
  <si>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</si>
  <si>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</si>
  <si>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</si>
  <si>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</si>
  <si>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</si>
  <si>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</si>
  <si>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</si>
  <si>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</si>
  <si>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</si>
  <si>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</si>
  <si>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</si>
  <si>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</si>
  <si>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</si>
  <si>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</si>
  <si>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</si>
  <si>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</si>
  <si>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</si>
  <si>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</si>
  <si>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</si>
  <si>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</si>
  <si>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</si>
  <si>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</si>
  <si>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</si>
  <si>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</si>
  <si>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</si>
  <si>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</si>
  <si>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</si>
  <si>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</si>
  <si>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</si>
  <si>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</si>
  <si>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</si>
  <si>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</si>
  <si>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</si>
  <si>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</si>
  <si>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</si>
  <si>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</si>
  <si>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</si>
  <si>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</si>
  <si>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</si>
  <si>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</si>
  <si>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</si>
  <si>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</si>
  <si>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</si>
  <si>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</si>
  <si>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</si>
  <si>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</si>
  <si>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</si>
  <si>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</si>
  <si>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</si>
  <si>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</si>
  <si>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</si>
  <si>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</si>
  <si>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</si>
  <si>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</si>
  <si>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</si>
  <si>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</si>
  <si>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</si>
  <si>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</si>
  <si>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</si>
  <si>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</si>
  <si>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</si>
  <si>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</si>
  <si>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</si>
  <si>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</si>
  <si>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</si>
  <si>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</si>
  <si>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</si>
  <si>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</si>
  <si>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</si>
  <si>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</si>
  <si>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</si>
  <si>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</si>
  <si>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</si>
  <si>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</si>
  <si>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</si>
  <si>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</si>
  <si>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</si>
  <si>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</si>
  <si>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</si>
  <si>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</si>
  <si>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</si>
  <si>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</si>
  <si>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</si>
  <si>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</si>
  <si>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</si>
  <si>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</si>
  <si>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</si>
  <si>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</si>
  <si>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</si>
  <si>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</si>
  <si>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</si>
  <si>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</si>
  <si>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</si>
  <si>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</si>
  <si>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</si>
  <si>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</si>
  <si>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</si>
  <si>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</si>
  <si>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</si>
  <si>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</si>
  <si>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</si>
  <si>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</si>
  <si>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</si>
  <si>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</si>
  <si>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</si>
  <si>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</si>
  <si>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</si>
  <si>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</si>
  <si>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</si>
  <si>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</si>
  <si>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</si>
  <si>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</si>
  <si>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</si>
  <si>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</si>
  <si>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</si>
  <si>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</si>
  <si>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</si>
  <si>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</si>
  <si>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</si>
  <si>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</si>
  <si>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</si>
  <si>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</si>
  <si>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</si>
  <si>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</si>
  <si>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</si>
  <si>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</si>
  <si>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</si>
  <si>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</si>
  <si>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</si>
  <si>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</si>
  <si>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</si>
  <si>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</si>
  <si>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</si>
  <si>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</si>
  <si>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</si>
  <si>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</si>
  <si>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</si>
  <si>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</si>
  <si>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</si>
  <si>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</si>
  <si>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</si>
  <si>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</si>
  <si>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</si>
  <si>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</si>
  <si>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</si>
  <si>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</si>
  <si>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</si>
  <si>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</si>
  <si>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</si>
  <si>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</si>
  <si>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</si>
  <si>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</si>
  <si>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</si>
  <si>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</si>
  <si>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</si>
  <si>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</si>
  <si>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</si>
  <si>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</si>
  <si>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</si>
  <si>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</si>
  <si>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</si>
  <si>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</si>
  <si>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</si>
  <si>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</si>
  <si>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</si>
  <si>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</si>
  <si>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</si>
  <si>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</si>
  <si>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</si>
  <si>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</si>
  <si>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</si>
  <si>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</si>
  <si>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</si>
  <si>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</si>
  <si>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</si>
  <si>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</si>
  <si>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</si>
  <si>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</si>
  <si>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</si>
  <si>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</si>
  <si>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</si>
  <si>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</si>
  <si>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</si>
  <si>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</si>
  <si>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</si>
  <si>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</si>
  <si>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</si>
  <si>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</si>
  <si>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</si>
  <si>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</si>
  <si>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</si>
  <si>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</si>
  <si>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</si>
  <si>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</si>
  <si>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</si>
  <si>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</si>
  <si>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</si>
  <si>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</si>
  <si>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</si>
  <si>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</si>
  <si>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</si>
  <si>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</si>
  <si>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</si>
  <si>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</si>
  <si>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</si>
  <si>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</si>
  <si>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</si>
  <si>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</si>
  <si>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</si>
  <si>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</si>
  <si>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</si>
  <si>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</si>
  <si>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</si>
  <si>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</si>
  <si>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</si>
  <si>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</si>
  <si>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</si>
  <si>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</si>
  <si>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</si>
  <si>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</si>
  <si>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</si>
  <si>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</si>
  <si>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</si>
  <si>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</si>
  <si>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</si>
  <si>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</si>
  <si>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</si>
  <si>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</si>
  <si>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</si>
  <si>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</si>
  <si>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</si>
  <si>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</si>
  <si>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</si>
  <si>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</si>
  <si>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</si>
  <si>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</si>
  <si>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</si>
  <si>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</si>
  <si>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</si>
  <si>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</si>
  <si>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</si>
  <si>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</si>
  <si>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</si>
  <si>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</si>
  <si>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</si>
  <si>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</si>
  <si>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</si>
  <si>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</si>
  <si>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</si>
  <si>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</si>
  <si>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</si>
  <si>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</si>
  <si>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</si>
  <si>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</si>
  <si>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</si>
  <si>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</si>
  <si>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</si>
  <si>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</si>
  <si>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</si>
  <si>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</si>
  <si>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</si>
  <si>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</si>
  <si>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</si>
  <si>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</si>
  <si>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</si>
  <si>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</si>
  <si>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</si>
  <si>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</si>
  <si>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</si>
  <si>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</si>
  <si>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</si>
  <si>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</si>
  <si>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</si>
  <si>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</si>
  <si>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</si>
  <si>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</si>
  <si>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</si>
  <si>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</si>
  <si>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</si>
  <si>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</si>
  <si>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</si>
  <si>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</si>
  <si>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</si>
  <si>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</si>
  <si>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</si>
  <si>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</si>
  <si>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</si>
  <si>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</si>
  <si>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</si>
  <si>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</si>
  <si>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</si>
  <si>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</si>
  <si>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</si>
  <si>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</si>
  <si>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</si>
  <si>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</si>
  <si>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</si>
  <si>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</si>
  <si>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</si>
  <si>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</si>
  <si>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</si>
  <si>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</si>
  <si>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</si>
  <si>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</si>
  <si>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</si>
  <si>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</si>
  <si>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</si>
  <si>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</si>
  <si>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</si>
  <si>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</si>
  <si>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</si>
  <si>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</si>
  <si>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</si>
  <si>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</si>
  <si>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</si>
  <si>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</si>
  <si>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</si>
  <si>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</si>
  <si>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</si>
  <si>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</si>
  <si>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</si>
  <si>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</si>
  <si>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</si>
  <si>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</si>
  <si>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</si>
  <si>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</si>
  <si>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</si>
  <si>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</si>
  <si>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</si>
  <si>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</si>
  <si>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</si>
  <si>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</si>
  <si>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</si>
  <si>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</si>
  <si>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</si>
  <si>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</si>
  <si>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</si>
  <si>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</si>
  <si>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</si>
  <si>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</si>
  <si>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</si>
  <si>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</si>
  <si>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</si>
  <si>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</si>
  <si>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</si>
  <si>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</si>
  <si>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</si>
  <si>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</si>
  <si>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</si>
  <si>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</si>
  <si>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</si>
  <si>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</si>
  <si>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</si>
  <si>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</si>
  <si>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</si>
  <si>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</si>
  <si>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</si>
  <si>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</si>
  <si>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</si>
  <si>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</si>
  <si>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</si>
  <si>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</si>
  <si>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</si>
  <si>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</si>
  <si>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</si>
  <si>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</si>
  <si>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</si>
  <si>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</si>
  <si>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</si>
  <si>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</si>
  <si>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</si>
  <si>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</si>
  <si>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</si>
  <si>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</si>
  <si>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</si>
  <si>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</si>
  <si>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</si>
  <si>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</si>
  <si>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</si>
  <si>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</si>
  <si>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</si>
  <si>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</si>
  <si>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</si>
  <si>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</si>
  <si>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</si>
  <si>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</si>
  <si>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</si>
  <si>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</si>
  <si>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</si>
  <si>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</si>
  <si>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</si>
  <si>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</si>
  <si>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</si>
  <si>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</si>
  <si>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</si>
  <si>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</si>
  <si>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</si>
  <si>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</si>
  <si>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</si>
  <si>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</si>
  <si>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</si>
  <si>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</si>
  <si>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</si>
  <si>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</si>
  <si>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</si>
  <si>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</si>
  <si>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</si>
  <si>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</si>
  <si>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</si>
  <si>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</si>
  <si>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</si>
  <si>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</si>
  <si>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</si>
  <si>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</si>
  <si>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</si>
  <si>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</si>
  <si>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</si>
  <si>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</si>
  <si>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</si>
  <si>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</si>
  <si>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</si>
  <si>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</si>
  <si>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</si>
  <si>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</si>
  <si>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</si>
  <si>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</si>
  <si>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</si>
  <si>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</si>
  <si>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</si>
  <si>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</si>
  <si>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</si>
  <si>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</si>
  <si>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</si>
  <si>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</si>
  <si>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</si>
  <si>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</si>
  <si>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</si>
  <si>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</si>
  <si>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</si>
  <si>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</si>
  <si>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</si>
  <si>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</si>
  <si>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</si>
  <si>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</si>
  <si>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</si>
  <si>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</si>
  <si>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</si>
  <si>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20260731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</si>
  <si>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</si>
  <si>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</si>
  <si>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</si>
  <si>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</si>
  <si>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</si>
  <si>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</si>
  <si>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</si>
  <si>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</si>
  <si>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</si>
  <si>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</si>
  <si>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AAPL@NASDAQ</t>
  </si>
  <si>
    <t>Routes to a named exchange instead of SMART.</t>
  </si>
  <si>
    <t>Compact</t>
  </si>
  <si>
    <t>AAPL@NASDAQ/STK/USD</t>
  </si>
  <si>
    <t>SYMBOL@EXCH[/PRIMEXCH]/SECTYPE[/EXP][/RIGHT][/STRIKE][/CURRENCY]</t>
  </si>
  <si>
    <t>AAPL@SMART/NASDAQ/STK/USD</t>
  </si>
  <si>
    <t>Compact future</t>
  </si>
  <si>
    <t>ES@CME/FUT/202612/USD</t>
  </si>
  <si>
    <t>Futures take the contract month YYYYMM.</t>
  </si>
  <si>
    <t>Compact option</t>
  </si>
  <si>
    <t>SPY@SMART/OPT/20261218/C/680/USD</t>
  </si>
  <si>
    <t>Segments after the security type are read by shape, so any of them can be omitted.</t>
  </si>
  <si>
    <t>SPY|OPT|20261218|C|680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</si>
  <si>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</si>
  <si>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</si>
  <si>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</si>
  <si>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</si>
  <si>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</si>
  <si>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</si>
  <si>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</si>
  <si>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</si>
  <si>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</si>
  <si>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</si>
  <si>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</si>
  <si>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</si>
  <si>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</si>
  <si>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</si>
  <si>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</si>
  <si>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</si>
  <si>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</si>
  <si>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</si>
  <si>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</si>
  <si>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</si>
  <si>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</si>
  <si>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</si>
  <si>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</si>
  <si>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</si>
  <si>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</si>
  <si>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</si>
  <si>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</si>
  <si>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</si>
  <si>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</si>
  <si>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</si>
  <si>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</si>
  <si>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</si>
  <si>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</si>
  <si>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</si>
  <si>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</si>
  <si>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</si>
  <si>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</si>
  <si>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</si>
  <si>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</si>
  <si>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</si>
  <si>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</si>
  <si>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</si>
  <si>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</si>
  <si>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</si>
  <si>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</si>
  <si>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</si>
  <si>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</si>
  <si>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</si>
  <si>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</si>
  <si>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</si>
  <si>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</si>
  <si>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</si>
  <si>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</si>
  <si>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</si>
  <si>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</si>
  <si>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</si>
  <si>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</si>
  <si>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</si>
  <si>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</si>
  <si>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</si>
  <si>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</si>
  <si>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</si>
  <si>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</si>
  <si>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</si>
  <si>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</si>
  <si>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</si>
  <si>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</si>
  <si>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</si>
  <si>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</si>
  <si>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</si>
  <si>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</si>
  <si>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</si>
  <si>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</si>
  <si>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</si>
  <si>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</si>
  <si>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</si>
  <si>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</si>
  <si>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</si>
  <si>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</si>
  <si>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</si>
  <si>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</si>
  <si>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Ticker@Exchange</t>
  </si>
  <si>
    <t>A security type must follow the primary exchange.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</si>
  <si>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</si>
  <si>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</si>
  <si>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</si>
  <si>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</si>
  <si>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</si>
  <si>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</si>
  <si>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</si>
  <si>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</si>
  <si>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</si>
  <si>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</si>
  <si>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</si>
  <si>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</si>
  <si>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</si>
  <si>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</si>
  <si>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</si>
  <si>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</si>
  <si>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</si>
  <si>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</si>
  <si>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</si>
  <si>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</si>
  <si>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</si>
  <si>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</si>
  <si>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</si>
  <si>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</si>
  <si>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</si>
  <si>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</si>
  <si>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</si>
  <si>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</si>
  <si>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</si>
  <si>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</si>
  <si>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</si>
  <si>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</si>
  <si>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</si>
  <si>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</si>
  <si>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</si>
  <si>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</si>
  <si>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</si>
  <si>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</si>
  <si>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</si>
  <si>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</si>
  <si>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</si>
  <si>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</si>
  <si>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</si>
  <si>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</si>
  <si>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</si>
  <si>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</si>
  <si>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</si>
  <si>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</si>
  <si>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</si>
  <si>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</si>
  <si>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</si>
  <si>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</si>
  <si>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</si>
  <si>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</si>
  <si>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</si>
  <si>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</si>
  <si>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</si>
  <si>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</si>
  <si>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</si>
  <si>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</si>
  <si>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</si>
  <si>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</si>
  <si>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</si>
  <si>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</si>
  <si>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</si>
  <si>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</si>
  <si>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</si>
  <si>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</si>
  <si>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</si>
  <si>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</si>
  <si>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</si>
  <si>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</si>
  <si>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</si>
  <si>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IF(A4,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</si>
  <si>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</si>
  <si>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</si>
  <si>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</si>
  <si>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</si>
  <si>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</si>
  <si>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</si>
  <si>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</si>
  <si>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</si>
  <si>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</si>
  <si>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</si>
  <si>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</si>
  <si>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</si>
  <si>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</si>
  <si>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</si>
  <si>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</si>
  <si>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</si>
  <si>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</si>
  <si>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RTD($A$1,, $G12, H$4, $A$2)</t>
  </si>
  <si>
    <t>RTD($A$1,, $G13,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</si>
  <si>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</si>
  <si>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</si>
  <si>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</si>
  <si>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</si>
  <si>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</si>
  <si>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</si>
  <si>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</si>
  <si>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</si>
  <si>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--TEXTSPLIT(RTD("tws.rtd",,A4,"OptionStrikesCSV",$A$2),,",")</t>
  </si>
  <si>
    <t>RTD("tws.rtd",,A4,"MarketPrice",$A$2)</t>
  </si>
  <si>
    <t>IFNA(RTD("tws.rtd",,"sym="&amp;$A$4,"sec=OPT","strike="&amp;$J5#,"right=C","exp="&amp;$A$5,"ModelDelta",$A$2),"")</t>
  </si>
  <si>
    <t>IFNA(RTD("tws.rtd",,"sym="&amp;$A$4,"sec=OPT","strike="&amp;$J5#,"right=C","exp="&amp;$A$5,"ModelImpliedVol",$A$2),"")</t>
  </si>
  <si>
    <t>IFNA(RTD("tws.rtd",,"sym="&amp;$A$4,"sec=OPT","strike="&amp;$J5#,"right=C","exp="&amp;$A$5,E4#),"")</t>
  </si>
  <si>
    <t>INDEX(U1#,SEQUENCE(A3,1,V1-A3/2))</t>
  </si>
  <si>
    <t>IFNA(RTD("tws.rtd",,"sym="&amp;$A$4,"sec=OPT","strike="&amp;$J5#,"right=P","exp="&amp;$A$5,K4#,$A$2),"")</t>
  </si>
  <si>
    <t>IFNA(RTD("tws.rtd",,"sym="&amp;$A$4,"sec=OPT","strike="&amp;$J5#,"right=P","exp="&amp;$A$5,"ModelImpliedVol",$A$2),"")</t>
  </si>
  <si>
    <t>IFNA(RTD("tws.rtd",,"sym="&amp;$A$4,"sec=OPT","strike="&amp;$J5#,"right=P","exp="&amp;$A$5,"ModelDelta",$A$2),"")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</si>
  <si>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</si>
  <si>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</si>
  <si>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</si>
  <si>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</si>
  <si>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r>
      <t xml:space="preserve">Examples. To run one add a leading "=" to the formula.  </t>
    </r>
    <r>
      <rPr>
        <i/>
        <sz val="10"/>
        <rFont val="Segoe UI"/>
        <family val="2"/>
      </rPr>
      <t>Ensure any date values are valid.</t>
    </r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</si>
  <si>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</si>
  <si>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transmits a new ticket to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</si>
  <si>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</si>
  <si>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</si>
  <si>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</si>
  <si>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</si>
  <si>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</si>
  <si>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</si>
  <si>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</si>
  <si>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</si>
  <si>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</si>
  <si>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</si>
  <si>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</si>
  <si>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</si>
  <si>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</si>
  <si>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</si>
  <si>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</si>
  <si>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</si>
  <si>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</si>
  <si>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</si>
  <si>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</si>
  <si>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</si>
  <si>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</si>
  <si>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</si>
  <si>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"goodtilldate=20261231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</si>
  <si>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</si>
  <si>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</si>
  <si>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"GAT=20261231 09:35:00", $A$2)</t>
  </si>
  <si>
    <t>RTD($A$1,,"StageOrder", "sym=SPY", "sec=OPT", "exp=20261218", "strike=680", "right=C", "side=BUY", "shares=1", "type=LMT", "limit=2.50", $A$2)</t>
  </si>
  <si>
    <t>RTD($A$1,,"StageOrder", "sym=ES", "sec=FUT", "exch=CME", "exp=202612",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</si>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</sst>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85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3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C30"/>
  <sheetViews>
    <sheetView showGridLines="0" tabSelected="1" workbookViewId="0"/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3" x14ac:dyDescent="0.55000000000000004">
      <c r="A1" s="1" t="s">
        <v>27</v>
      </c>
      <c r="B1" s="7" t="s">
        <v>600</v>
      </c>
      <c r="C1" s="267" t="e" vm="1">
        <v>#VALUE!</v>
      </c>
    </row>
    <row r="2" spans="1:3" x14ac:dyDescent="0.55000000000000004">
      <c r="A2" s="2"/>
      <c r="B2" s="8" t="s">
        <v>599</v>
      </c>
      <c r="C2" s="268"/>
    </row>
    <row r="3" spans="1:3" x14ac:dyDescent="0.55000000000000004">
      <c r="A3" s="9">
        <v>1000</v>
      </c>
      <c r="B3" s="8" t="s">
        <v>458</v>
      </c>
      <c r="C3" s="6"/>
    </row>
    <row r="4" spans="1:3" ht="16.5" x14ac:dyDescent="0.6">
      <c r="A4" s="265" t="s">
        <v>607</v>
      </c>
      <c r="B4" s="266"/>
      <c r="C4" s="266"/>
    </row>
    <row r="5" spans="1:3" x14ac:dyDescent="0.55000000000000004">
      <c r="A5" s="10" t="s">
        <v>5</v>
      </c>
      <c r="B5" s="11" t="s">
        <v>7</v>
      </c>
      <c r="C5" s="12" t="s">
        <v>609</v>
      </c>
    </row>
    <row r="6" spans="1:3" x14ac:dyDescent="0.55000000000000004">
      <c r="A6" s="13" t="s">
        <v>5</v>
      </c>
      <c r="B6" s="14" t="s">
        <v>8</v>
      </c>
      <c r="C6" s="15" t="s">
        <v>729</v>
      </c>
    </row>
    <row r="7" spans="1:3" x14ac:dyDescent="0.55000000000000004">
      <c r="A7" s="13" t="s">
        <v>5</v>
      </c>
      <c r="B7" s="14" t="s">
        <v>9</v>
      </c>
      <c r="C7" s="15" t="s">
        <v>610</v>
      </c>
    </row>
    <row r="8" spans="1:3" x14ac:dyDescent="0.55000000000000004">
      <c r="A8" s="13" t="s">
        <v>5</v>
      </c>
      <c r="B8" s="14" t="s">
        <v>11</v>
      </c>
      <c r="C8" s="16" t="s">
        <v>611</v>
      </c>
    </row>
    <row r="9" spans="1:3" x14ac:dyDescent="0.55000000000000004">
      <c r="A9" s="13" t="s">
        <v>5</v>
      </c>
      <c r="B9" s="14" t="s">
        <v>6</v>
      </c>
      <c r="C9" s="16" t="s">
        <v>612</v>
      </c>
    </row>
    <row r="10" spans="1:3" x14ac:dyDescent="0.55000000000000004">
      <c r="A10" s="13" t="s">
        <v>5</v>
      </c>
      <c r="B10" s="14" t="s">
        <v>260</v>
      </c>
      <c r="C10" s="16" t="s">
        <v>601</v>
      </c>
    </row>
    <row r="11" spans="1:3" x14ac:dyDescent="0.55000000000000004">
      <c r="A11" s="13" t="s">
        <v>5</v>
      </c>
      <c r="B11" s="14" t="s">
        <v>466</v>
      </c>
      <c r="C11" s="16" t="s">
        <v>602</v>
      </c>
    </row>
    <row r="12" spans="1:3" x14ac:dyDescent="0.55000000000000004">
      <c r="A12" s="13" t="s">
        <v>5</v>
      </c>
      <c r="B12" s="14" t="s">
        <v>608</v>
      </c>
      <c r="C12" s="16" t="s">
        <v>603</v>
      </c>
    </row>
    <row r="13" spans="1:3" x14ac:dyDescent="0.55000000000000004">
      <c r="A13" s="13" t="s">
        <v>5</v>
      </c>
      <c r="B13" s="14" t="s">
        <v>459</v>
      </c>
      <c r="C13" s="16" t="s">
        <v>613</v>
      </c>
    </row>
    <row r="14" spans="1:3" x14ac:dyDescent="0.55000000000000004">
      <c r="A14" s="17"/>
      <c r="B14" s="14" t="s">
        <v>727</v>
      </c>
      <c r="C14" s="16" t="s">
        <v>614</v>
      </c>
    </row>
    <row r="15" spans="1:3" x14ac:dyDescent="0.55000000000000004">
      <c r="A15" s="17"/>
      <c r="B15" s="14" t="s">
        <v>1</v>
      </c>
      <c r="C15" s="187" t="s">
        <v>615</v>
      </c>
    </row>
    <row r="16" spans="1:3" x14ac:dyDescent="0.55000000000000004">
      <c r="A16" s="17"/>
      <c r="B16" s="14" t="s">
        <v>2</v>
      </c>
      <c r="C16" s="16" t="s">
        <v>616</v>
      </c>
    </row>
    <row r="17" spans="1:3" x14ac:dyDescent="0.55000000000000004">
      <c r="A17" s="17"/>
      <c r="B17" s="14" t="s">
        <v>3</v>
      </c>
      <c r="C17" s="283" t="s">
        <v>617</v>
      </c>
    </row>
    <row r="18" spans="1:3" x14ac:dyDescent="0.55000000000000004">
      <c r="A18" s="17"/>
      <c r="B18" s="14" t="s">
        <v>4</v>
      </c>
      <c r="C18" s="16" t="s">
        <v>618</v>
      </c>
    </row>
    <row r="19" spans="1:3" x14ac:dyDescent="0.55000000000000004">
      <c r="A19" s="17"/>
      <c r="B19" s="14" t="s">
        <v>463</v>
      </c>
      <c r="C19" s="16" t="s">
        <v>619</v>
      </c>
    </row>
    <row r="20" spans="1:3" x14ac:dyDescent="0.55000000000000004">
      <c r="A20" s="17"/>
      <c r="B20" s="14" t="s">
        <v>464</v>
      </c>
      <c r="C20" s="16" t="s">
        <v>620</v>
      </c>
    </row>
    <row r="21" spans="1:3" x14ac:dyDescent="0.55000000000000004">
      <c r="A21" s="17"/>
      <c r="B21" s="14" t="s">
        <v>465</v>
      </c>
      <c r="C21" s="16" t="s">
        <v>621</v>
      </c>
    </row>
    <row r="22" spans="1:3" x14ac:dyDescent="0.55000000000000004">
      <c r="A22" s="17"/>
      <c r="B22" s="14" t="s">
        <v>726</v>
      </c>
      <c r="C22" s="16" t="s">
        <v>622</v>
      </c>
    </row>
    <row r="23" spans="1:3" x14ac:dyDescent="0.55000000000000004">
      <c r="A23" s="17"/>
      <c r="B23" s="14" t="s">
        <v>728</v>
      </c>
      <c r="C23" s="16" t="s">
        <v>623</v>
      </c>
    </row>
    <row r="24" spans="1:3" x14ac:dyDescent="0.55000000000000004">
      <c r="A24" s="17"/>
      <c r="B24" s="14" t="s">
        <v>460</v>
      </c>
      <c r="C24" s="16" t="s">
        <v>624</v>
      </c>
    </row>
    <row r="25" spans="1:3" x14ac:dyDescent="0.55000000000000004">
      <c r="A25" s="17"/>
      <c r="B25" s="14" t="s">
        <v>461</v>
      </c>
      <c r="C25" s="284" t="s">
        <v>625</v>
      </c>
    </row>
    <row r="26" spans="1:3" x14ac:dyDescent="0.55000000000000004">
      <c r="A26" s="17"/>
      <c r="B26" s="14" t="s">
        <v>462</v>
      </c>
      <c r="C26" s="16" t="s">
        <v>626</v>
      </c>
    </row>
    <row r="27" spans="1:3" x14ac:dyDescent="0.55000000000000004">
      <c r="A27" s="17"/>
      <c r="B27" s="14" t="s">
        <v>468</v>
      </c>
      <c r="C27" s="16" t="s">
        <v>627</v>
      </c>
    </row>
    <row r="28" spans="1:3" x14ac:dyDescent="0.55000000000000004">
      <c r="A28" s="17"/>
      <c r="B28" s="14" t="s">
        <v>471</v>
      </c>
      <c r="C28" s="16" t="s">
        <v>730</v>
      </c>
    </row>
    <row r="29" spans="1:3" x14ac:dyDescent="0.55000000000000004">
      <c r="A29" s="17"/>
      <c r="B29" s="14" t="s">
        <v>470</v>
      </c>
      <c r="C29" s="284" t="s">
        <v>731</v>
      </c>
    </row>
    <row r="30" spans="1:3" x14ac:dyDescent="0.55000000000000004">
      <c r="A30" s="17"/>
      <c r="B30" s="14" t="s">
        <v>469</v>
      </c>
      <c r="C30" s="16" t="s">
        <v>732</v>
      </c>
    </row>
  </sheetData>
  <mergeCells count="2">
    <mergeCell ref="A4:C4"/>
    <mergeCell ref="C1:C2"/>
  </mergeCells>
  <conditionalFormatting sqref="A5:C30">
    <cfRule type="expression" dxfId="32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6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600</v>
      </c>
      <c r="C1" s="269" t="e" vm="1">
        <v>#VALUE!</v>
      </c>
      <c r="D1" s="269"/>
      <c r="E1" s="269"/>
      <c r="F1" s="270"/>
    </row>
    <row r="2" spans="1:10" x14ac:dyDescent="0.55000000000000004">
      <c r="A2" s="2"/>
      <c r="B2" s="8" t="s">
        <v>631</v>
      </c>
      <c r="C2" s="269"/>
      <c r="D2" s="269"/>
      <c r="E2" s="269"/>
      <c r="F2" s="270"/>
    </row>
    <row r="3" spans="1:10" ht="16.5" x14ac:dyDescent="0.6">
      <c r="A3" s="265" t="s">
        <v>630</v>
      </c>
      <c r="B3" s="266"/>
      <c r="C3" s="266"/>
      <c r="D3" s="266"/>
      <c r="E3" s="266"/>
      <c r="F3" s="271"/>
    </row>
    <row r="4" spans="1:10" x14ac:dyDescent="0.55000000000000004">
      <c r="A4" s="21" t="s">
        <v>24</v>
      </c>
      <c r="B4" s="32" t="s">
        <v>628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629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633</v>
      </c>
      <c r="B148" s="52" t="s">
        <v>632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341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342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343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344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345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346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347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348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349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350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351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352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353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354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355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356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357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358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359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360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453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361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363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364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365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366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367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368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369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370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371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372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373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374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375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376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377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378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379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380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381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382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383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384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386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387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388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390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391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393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394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395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396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397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398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399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400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401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402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403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404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405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406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406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407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408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408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454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409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410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411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412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413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414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415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416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417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418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419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420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421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423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424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425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426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428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429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430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431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359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432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433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434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435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436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437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438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439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440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441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442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443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444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445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446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447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448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449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450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451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1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600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639</v>
      </c>
      <c r="M1" s="65"/>
      <c r="N1" s="272" t="e" vm="1">
        <v>#VALUE!</v>
      </c>
      <c r="O1" s="272"/>
      <c r="P1" s="273"/>
    </row>
    <row r="2" spans="1:16" s="55" customFormat="1" x14ac:dyDescent="0.55000000000000004">
      <c r="A2" s="80"/>
      <c r="B2" s="67" t="s">
        <v>631</v>
      </c>
      <c r="C2" s="20"/>
      <c r="D2" s="87"/>
      <c r="E2" s="92"/>
      <c r="F2" s="99"/>
      <c r="G2" s="100"/>
      <c r="H2" s="100"/>
      <c r="I2" s="20"/>
      <c r="J2" s="20"/>
      <c r="K2" s="79" t="s">
        <v>634</v>
      </c>
      <c r="L2" s="275" t="s">
        <v>640</v>
      </c>
      <c r="M2" s="275"/>
      <c r="N2" s="269"/>
      <c r="O2" s="269"/>
      <c r="P2" s="274"/>
    </row>
    <row r="3" spans="1:16" s="55" customFormat="1" x14ac:dyDescent="0.55000000000000004">
      <c r="A3" s="80"/>
      <c r="B3" s="67" t="s">
        <v>636</v>
      </c>
      <c r="C3" s="56"/>
      <c r="D3" s="88"/>
      <c r="E3" s="93"/>
      <c r="F3" s="100"/>
      <c r="G3" s="100"/>
      <c r="H3" s="100"/>
      <c r="I3" s="20"/>
      <c r="J3" s="20"/>
      <c r="K3" s="79" t="s">
        <v>635</v>
      </c>
      <c r="L3" s="275" t="s">
        <v>641</v>
      </c>
      <c r="M3" s="275"/>
      <c r="N3" s="20"/>
      <c r="O3" s="20"/>
      <c r="P3" s="57"/>
    </row>
    <row r="4" spans="1:16" s="55" customFormat="1" x14ac:dyDescent="0.55000000000000004">
      <c r="A4" s="73" t="s">
        <v>642</v>
      </c>
      <c r="B4" s="83" t="s">
        <v>637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643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638</v>
      </c>
      <c r="B6" s="84" t="s">
        <v>723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30" priority="1">
      <formula>AND($A1&lt;&gt;"",ROW()&gt;5,ISODD(ROW()))</formula>
    </cfRule>
    <cfRule type="expression" dxfId="29" priority="2">
      <formula>AND($A1&lt;&gt;"",ROW()&gt;5,ISEVEN(ROW()))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9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600</v>
      </c>
      <c r="C1" s="111"/>
      <c r="D1" s="119"/>
      <c r="E1" s="120"/>
      <c r="F1" s="127"/>
      <c r="G1" s="128"/>
      <c r="H1" s="134"/>
      <c r="I1" s="68"/>
      <c r="J1" s="68"/>
      <c r="K1" s="139" t="s">
        <v>264</v>
      </c>
      <c r="L1" s="165" t="s">
        <v>639</v>
      </c>
      <c r="M1" s="104"/>
      <c r="N1" s="269" t="e" vm="1">
        <v>#VALUE!</v>
      </c>
      <c r="O1" s="269"/>
      <c r="P1" s="269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80"/>
      <c r="B2" s="164" t="s">
        <v>631</v>
      </c>
      <c r="C2" s="112"/>
      <c r="D2" s="88"/>
      <c r="E2" s="121"/>
      <c r="F2" s="129"/>
      <c r="G2" s="130"/>
      <c r="H2" s="70"/>
      <c r="I2" s="69"/>
      <c r="J2" s="69"/>
      <c r="K2" s="140" t="s">
        <v>724</v>
      </c>
      <c r="L2" s="275" t="s">
        <v>640</v>
      </c>
      <c r="M2" s="275"/>
      <c r="N2" s="269"/>
      <c r="O2" s="269"/>
      <c r="P2" s="269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636</v>
      </c>
      <c r="C3" s="113"/>
      <c r="D3" s="88"/>
      <c r="E3" s="122"/>
      <c r="F3" s="130"/>
      <c r="G3" s="130"/>
      <c r="H3" s="70"/>
      <c r="I3" s="69"/>
      <c r="J3" s="69"/>
      <c r="K3" s="140" t="s">
        <v>645</v>
      </c>
      <c r="L3" s="275" t="s">
        <v>641</v>
      </c>
      <c r="M3" s="275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644</v>
      </c>
      <c r="C4" s="114"/>
      <c r="D4" s="89"/>
      <c r="E4" s="123"/>
      <c r="F4" s="131"/>
      <c r="G4" s="131"/>
      <c r="H4" s="71"/>
      <c r="I4" s="137"/>
      <c r="J4" s="137"/>
      <c r="K4" s="140" t="s">
        <v>646</v>
      </c>
      <c r="L4" s="275" t="s">
        <v>725</v>
      </c>
      <c r="M4" s="275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472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647</v>
      </c>
      <c r="B6" s="162" t="s">
        <v>648</v>
      </c>
      <c r="C6" s="117"/>
      <c r="D6" s="63" t="s">
        <v>649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8" priority="3">
      <formula>AND($A1&lt;&gt;"",ROW()&gt;5,ISODD(ROW()))</formula>
    </cfRule>
    <cfRule type="expression" dxfId="27" priority="4">
      <formula>AND($A1&lt;&gt;"",ROW()&gt;5,ISEVEN(ROW()))</formula>
    </cfRule>
  </conditionalFormatting>
  <conditionalFormatting sqref="K3:M3 K4:L4">
    <cfRule type="expression" dxfId="26" priority="24">
      <formula>AND($A2&lt;&gt;"",ROW()&gt;5,ISODD(ROW()))</formula>
    </cfRule>
    <cfRule type="expression" dxfId="25" priority="25">
      <formula>AND($A2&lt;&gt;"",ROW()&gt;5,ISEVEN(ROW()))</formula>
    </cfRule>
  </conditionalFormatting>
  <conditionalFormatting sqref="K2:M2">
    <cfRule type="expression" dxfId="24" priority="1">
      <formula>AND($A1&lt;&gt;"",ROW()&gt;5,ISODD(ROW()))</formula>
    </cfRule>
    <cfRule type="expression" dxfId="23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 TRUE"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C6" sqref="C6"/>
    </sheetView>
  </sheetViews>
  <sheetFormatPr defaultRowHeight="15.4" x14ac:dyDescent="0.55000000000000004"/>
  <cols>
    <col min="1" max="1" width="26.9296875" style="22" bestFit="1" customWidth="1"/>
    <col min="2" max="2" width="13.6640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.46484375" style="22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600</v>
      </c>
      <c r="C1" s="169"/>
      <c r="D1" s="169"/>
      <c r="E1" s="169"/>
      <c r="F1" s="169"/>
      <c r="G1" s="193"/>
      <c r="H1" s="193"/>
      <c r="I1" s="276" t="e" vm="1">
        <v>#VALUE!</v>
      </c>
      <c r="K1" s="166"/>
      <c r="N1" s="182" t="s">
        <v>151</v>
      </c>
    </row>
    <row r="2" spans="1:14" x14ac:dyDescent="0.55000000000000004">
      <c r="A2" s="2"/>
      <c r="B2" s="172" t="s">
        <v>631</v>
      </c>
      <c r="C2" s="169"/>
      <c r="D2" s="169"/>
      <c r="E2" s="169"/>
      <c r="F2" s="169"/>
      <c r="G2" s="193"/>
      <c r="H2" s="193"/>
      <c r="I2" s="276"/>
      <c r="N2" s="22" t="s">
        <v>260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262</v>
      </c>
    </row>
    <row r="4" spans="1:14" ht="16.899999999999999" thickBot="1" x14ac:dyDescent="0.65">
      <c r="A4" s="265" t="s">
        <v>650</v>
      </c>
      <c r="B4" s="266"/>
      <c r="C4" s="271"/>
      <c r="D4" s="184"/>
      <c r="E4" s="184"/>
      <c r="F4" s="265" t="s">
        <v>653</v>
      </c>
      <c r="G4" s="266"/>
      <c r="H4" s="183" t="s">
        <v>262</v>
      </c>
      <c r="I4" s="194" t="s">
        <v>474</v>
      </c>
      <c r="L4" s="182" t="s">
        <v>149</v>
      </c>
      <c r="M4" s="182" t="s">
        <v>150</v>
      </c>
      <c r="N4" s="22" t="s">
        <v>261</v>
      </c>
    </row>
    <row r="5" spans="1:14" ht="16.899999999999999" thickBot="1" x14ac:dyDescent="0.65">
      <c r="A5" s="168" t="s">
        <v>651</v>
      </c>
      <c r="B5" s="277" t="s">
        <v>266</v>
      </c>
      <c r="C5" s="278"/>
      <c r="D5" s="184"/>
      <c r="E5" s="186"/>
      <c r="F5" s="175" t="s">
        <v>475</v>
      </c>
      <c r="G5" s="176" t="s">
        <v>476</v>
      </c>
      <c r="H5" s="187" t="s">
        <v>658</v>
      </c>
      <c r="I5" s="179" t="s">
        <v>477</v>
      </c>
      <c r="L5" s="22">
        <v>0</v>
      </c>
      <c r="M5" s="22" t="s">
        <v>152</v>
      </c>
      <c r="N5" s="22" t="s">
        <v>267</v>
      </c>
    </row>
    <row r="6" spans="1:14" x14ac:dyDescent="0.55000000000000004">
      <c r="A6" s="173" t="s">
        <v>652</v>
      </c>
      <c r="B6" s="192" t="s">
        <v>656</v>
      </c>
      <c r="C6" s="195" t="s">
        <v>193</v>
      </c>
      <c r="D6" s="184"/>
      <c r="E6" s="186"/>
      <c r="F6" s="175" t="s">
        <v>572</v>
      </c>
      <c r="G6" s="176" t="s">
        <v>478</v>
      </c>
      <c r="H6" s="187" t="s">
        <v>659</v>
      </c>
      <c r="I6" s="180" t="s">
        <v>479</v>
      </c>
      <c r="L6" s="22">
        <v>1</v>
      </c>
      <c r="M6" s="22" t="s">
        <v>154</v>
      </c>
      <c r="N6" s="22" t="s">
        <v>268</v>
      </c>
    </row>
    <row r="7" spans="1:14" ht="16.5" x14ac:dyDescent="0.6">
      <c r="A7" s="173" t="str" cm="1">
        <f t="array" ref="A7:A78">N2:N73</f>
        <v>MarketDataType</v>
      </c>
      <c r="B7" s="187" t="s">
        <v>657</v>
      </c>
      <c r="C7" s="196" t="s">
        <v>263</v>
      </c>
      <c r="D7" s="185"/>
      <c r="E7" s="185"/>
      <c r="F7" s="175" t="s">
        <v>480</v>
      </c>
      <c r="G7" s="176" t="s">
        <v>481</v>
      </c>
      <c r="H7" s="187" t="s">
        <v>660</v>
      </c>
      <c r="I7" s="180" t="s">
        <v>482</v>
      </c>
      <c r="L7" s="22">
        <v>2</v>
      </c>
      <c r="M7" s="22" t="s">
        <v>156</v>
      </c>
      <c r="N7" s="22" t="s">
        <v>269</v>
      </c>
    </row>
    <row r="8" spans="1:14" x14ac:dyDescent="0.55000000000000004">
      <c r="A8" s="173" t="str">
        <v>MarketPrice</v>
      </c>
      <c r="B8" s="188"/>
      <c r="C8" s="197" t="s">
        <v>473</v>
      </c>
      <c r="F8" s="175" t="s">
        <v>655</v>
      </c>
      <c r="G8" s="176" t="s">
        <v>483</v>
      </c>
      <c r="H8" s="187" t="s">
        <v>661</v>
      </c>
      <c r="I8" s="180" t="s">
        <v>573</v>
      </c>
      <c r="L8" s="22">
        <v>3</v>
      </c>
      <c r="M8" s="22" t="s">
        <v>158</v>
      </c>
      <c r="N8" s="22" t="s">
        <v>270</v>
      </c>
    </row>
    <row r="9" spans="1:14" x14ac:dyDescent="0.55000000000000004">
      <c r="A9" s="173" t="str">
        <v>LastOrClose</v>
      </c>
      <c r="B9" s="188"/>
      <c r="C9" s="197" t="s">
        <v>258</v>
      </c>
      <c r="F9" s="175" t="s">
        <v>484</v>
      </c>
      <c r="G9" s="176" t="s">
        <v>485</v>
      </c>
      <c r="H9" s="187" t="s">
        <v>662</v>
      </c>
      <c r="I9" s="180" t="s">
        <v>486</v>
      </c>
      <c r="L9" s="22">
        <v>4</v>
      </c>
      <c r="M9" s="22" t="s">
        <v>160</v>
      </c>
      <c r="N9" s="22" t="s">
        <v>271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487</v>
      </c>
      <c r="G10" s="176" t="s">
        <v>488</v>
      </c>
      <c r="H10" s="187" t="s">
        <v>663</v>
      </c>
      <c r="I10" s="180" t="s">
        <v>489</v>
      </c>
      <c r="L10" s="22">
        <v>5</v>
      </c>
      <c r="M10" s="22" t="s">
        <v>162</v>
      </c>
      <c r="N10" s="22" t="s">
        <v>272</v>
      </c>
    </row>
    <row r="11" spans="1:14" x14ac:dyDescent="0.55000000000000004">
      <c r="A11" s="173" t="str">
        <v>BID</v>
      </c>
      <c r="B11" s="188"/>
      <c r="C11" s="197" t="s">
        <v>155</v>
      </c>
      <c r="F11" s="175" t="s">
        <v>654</v>
      </c>
      <c r="G11" s="176" t="s">
        <v>490</v>
      </c>
      <c r="H11" s="187" t="s">
        <v>664</v>
      </c>
      <c r="I11" s="180" t="s">
        <v>491</v>
      </c>
      <c r="L11" s="22">
        <v>6</v>
      </c>
      <c r="M11" s="22" t="s">
        <v>164</v>
      </c>
      <c r="N11" s="22" t="s">
        <v>273</v>
      </c>
    </row>
    <row r="12" spans="1:14" x14ac:dyDescent="0.55000000000000004">
      <c r="A12" s="173" t="str">
        <v>ASK</v>
      </c>
      <c r="B12" s="188"/>
      <c r="C12" s="197" t="s">
        <v>157</v>
      </c>
      <c r="F12" s="175" t="s">
        <v>492</v>
      </c>
      <c r="G12" s="176" t="s">
        <v>493</v>
      </c>
      <c r="H12" s="187" t="s">
        <v>665</v>
      </c>
      <c r="I12" s="180" t="s">
        <v>494</v>
      </c>
      <c r="L12" s="22">
        <v>7</v>
      </c>
      <c r="M12" s="22" t="s">
        <v>166</v>
      </c>
      <c r="N12" s="22" t="s">
        <v>274</v>
      </c>
    </row>
    <row r="13" spans="1:14" x14ac:dyDescent="0.55000000000000004">
      <c r="A13" s="173" t="str">
        <v>ASKSIZE</v>
      </c>
      <c r="B13" s="189"/>
      <c r="C13" s="197" t="s">
        <v>159</v>
      </c>
      <c r="F13" s="177" t="s">
        <v>495</v>
      </c>
      <c r="G13" s="178" t="s">
        <v>496</v>
      </c>
      <c r="H13" s="191" t="s">
        <v>666</v>
      </c>
      <c r="I13" s="181" t="s">
        <v>574</v>
      </c>
      <c r="L13" s="22">
        <v>8</v>
      </c>
      <c r="M13" s="22" t="s">
        <v>168</v>
      </c>
      <c r="N13" s="22" t="s">
        <v>275</v>
      </c>
    </row>
    <row r="14" spans="1:14" x14ac:dyDescent="0.55000000000000004">
      <c r="A14" s="173" t="str">
        <v>LAST</v>
      </c>
      <c r="B14" s="188"/>
      <c r="C14" s="197" t="s">
        <v>161</v>
      </c>
      <c r="G14" s="167" t="s">
        <v>595</v>
      </c>
      <c r="L14" s="22">
        <v>9</v>
      </c>
      <c r="M14" s="22" t="s">
        <v>170</v>
      </c>
      <c r="N14" s="22" t="s">
        <v>276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277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278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279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280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281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282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283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284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218</v>
      </c>
      <c r="N23" s="22" t="s">
        <v>285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219</v>
      </c>
      <c r="N24" s="22" t="s">
        <v>286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287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288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289</v>
      </c>
    </row>
    <row r="28" spans="1:14" x14ac:dyDescent="0.55000000000000004">
      <c r="A28" s="173" t="str">
        <v>OPTIONHISTORICALVOL</v>
      </c>
      <c r="B28" s="190"/>
      <c r="C28" s="197" t="s">
        <v>512</v>
      </c>
      <c r="L28" s="22">
        <v>30</v>
      </c>
      <c r="M28" s="22" t="s">
        <v>214</v>
      </c>
      <c r="N28" s="22" t="s">
        <v>290</v>
      </c>
    </row>
    <row r="29" spans="1:14" x14ac:dyDescent="0.55000000000000004">
      <c r="A29" s="173" t="str">
        <v>OPTIONIMPLIEDVOL</v>
      </c>
      <c r="B29" s="190"/>
      <c r="C29" s="197" t="s">
        <v>513</v>
      </c>
      <c r="L29" s="22">
        <v>31</v>
      </c>
      <c r="M29" s="22" t="s">
        <v>246</v>
      </c>
      <c r="N29" s="22" t="s">
        <v>291</v>
      </c>
    </row>
    <row r="30" spans="1:14" x14ac:dyDescent="0.55000000000000004">
      <c r="A30" s="173" t="str">
        <v>CALLOPTIONOPENINTEREST</v>
      </c>
      <c r="B30" s="189"/>
      <c r="C30" s="197" t="s">
        <v>596</v>
      </c>
      <c r="L30" s="22">
        <v>32</v>
      </c>
      <c r="M30" s="22" t="s">
        <v>187</v>
      </c>
      <c r="N30" s="22" t="s">
        <v>292</v>
      </c>
    </row>
    <row r="31" spans="1:14" x14ac:dyDescent="0.55000000000000004">
      <c r="A31" s="173" t="str">
        <v>PUTOPTIONOPENINTEREST</v>
      </c>
      <c r="B31" s="189"/>
      <c r="C31" s="197" t="s">
        <v>597</v>
      </c>
      <c r="L31" s="22">
        <v>33</v>
      </c>
      <c r="M31" s="22" t="s">
        <v>189</v>
      </c>
      <c r="N31" s="22" t="s">
        <v>293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225</v>
      </c>
      <c r="N32" s="22" t="s">
        <v>294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227</v>
      </c>
      <c r="N33" s="22" t="s">
        <v>295</v>
      </c>
    </row>
    <row r="34" spans="1:14" x14ac:dyDescent="0.55000000000000004">
      <c r="A34" s="173" t="str">
        <v>INDEXFUTUREPREMIUM</v>
      </c>
      <c r="B34" s="187"/>
      <c r="C34" s="197" t="s">
        <v>514</v>
      </c>
      <c r="L34" s="22">
        <v>36</v>
      </c>
      <c r="M34" s="22" t="s">
        <v>229</v>
      </c>
      <c r="N34" s="22" t="s">
        <v>296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233</v>
      </c>
      <c r="N35" s="22" t="s">
        <v>297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221</v>
      </c>
      <c r="N36" s="22" t="s">
        <v>298</v>
      </c>
    </row>
    <row r="37" spans="1:14" x14ac:dyDescent="0.55000000000000004">
      <c r="A37" s="173" t="str">
        <v>AUCTIONVOLUME</v>
      </c>
      <c r="B37" s="187"/>
      <c r="C37" s="197" t="s">
        <v>226</v>
      </c>
      <c r="L37" s="22">
        <v>49</v>
      </c>
      <c r="M37" s="22" t="s">
        <v>194</v>
      </c>
      <c r="N37" s="22" t="s">
        <v>299</v>
      </c>
    </row>
    <row r="38" spans="1:14" x14ac:dyDescent="0.55000000000000004">
      <c r="A38" s="173" t="str">
        <v>AUCTIONPRICE</v>
      </c>
      <c r="B38" s="187"/>
      <c r="C38" s="197" t="s">
        <v>228</v>
      </c>
      <c r="L38" s="22">
        <v>54</v>
      </c>
      <c r="M38" s="22" t="s">
        <v>236</v>
      </c>
      <c r="N38" s="22" t="s">
        <v>300</v>
      </c>
    </row>
    <row r="39" spans="1:14" x14ac:dyDescent="0.55000000000000004">
      <c r="A39" s="173" t="str">
        <v>AUCTIONIMBALANCE</v>
      </c>
      <c r="B39" s="188"/>
      <c r="C39" s="197" t="s">
        <v>230</v>
      </c>
      <c r="L39" s="22">
        <v>55</v>
      </c>
      <c r="M39" s="22" t="s">
        <v>237</v>
      </c>
      <c r="N39" s="22" t="s">
        <v>301</v>
      </c>
    </row>
    <row r="40" spans="1:14" x14ac:dyDescent="0.55000000000000004">
      <c r="A40" s="173" t="str">
        <v>PLPRICE</v>
      </c>
      <c r="B40" s="188"/>
      <c r="C40" s="197" t="s">
        <v>515</v>
      </c>
      <c r="L40" s="22">
        <v>56</v>
      </c>
      <c r="M40" s="22" t="s">
        <v>238</v>
      </c>
      <c r="N40" s="22" t="s">
        <v>302</v>
      </c>
    </row>
    <row r="41" spans="1:14" x14ac:dyDescent="0.55000000000000004">
      <c r="A41" s="173" t="str">
        <v>SHORTABLE</v>
      </c>
      <c r="B41" s="188"/>
      <c r="C41" s="197" t="s">
        <v>222</v>
      </c>
      <c r="L41" s="22">
        <v>57</v>
      </c>
      <c r="M41" s="22" t="s">
        <v>239</v>
      </c>
      <c r="N41" s="22" t="s">
        <v>303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220</v>
      </c>
      <c r="N42" s="22" t="s">
        <v>304</v>
      </c>
    </row>
    <row r="43" spans="1:14" x14ac:dyDescent="0.55000000000000004">
      <c r="A43" s="173" t="str">
        <v>TRADECOUNT</v>
      </c>
      <c r="B43" s="189"/>
      <c r="C43" s="197" t="s">
        <v>516</v>
      </c>
      <c r="L43" s="22">
        <v>59</v>
      </c>
      <c r="M43" s="22" t="s">
        <v>256</v>
      </c>
      <c r="N43" s="22" t="s">
        <v>305</v>
      </c>
    </row>
    <row r="44" spans="1:14" x14ac:dyDescent="0.55000000000000004">
      <c r="A44" s="173" t="str">
        <v>TRADERATE</v>
      </c>
      <c r="B44" s="189"/>
      <c r="C44" s="197" t="s">
        <v>517</v>
      </c>
      <c r="L44" s="22">
        <v>60</v>
      </c>
      <c r="M44" s="22" t="s">
        <v>257</v>
      </c>
      <c r="N44" s="22" t="s">
        <v>306</v>
      </c>
    </row>
    <row r="45" spans="1:14" x14ac:dyDescent="0.55000000000000004">
      <c r="A45" s="173" t="str">
        <v>VOLUMERATE</v>
      </c>
      <c r="B45" s="189"/>
      <c r="C45" s="197" t="s">
        <v>518</v>
      </c>
      <c r="L45" s="22">
        <v>61</v>
      </c>
      <c r="M45" s="22" t="s">
        <v>231</v>
      </c>
      <c r="N45" s="22" t="s">
        <v>307</v>
      </c>
    </row>
    <row r="46" spans="1:14" x14ac:dyDescent="0.55000000000000004">
      <c r="A46" s="173" t="str">
        <v>LASTRTHTRADE</v>
      </c>
      <c r="B46" s="187"/>
      <c r="C46" s="197" t="s">
        <v>519</v>
      </c>
      <c r="L46" s="22">
        <v>63</v>
      </c>
      <c r="M46" s="22" t="s">
        <v>240</v>
      </c>
      <c r="N46" s="22" t="s">
        <v>308</v>
      </c>
    </row>
    <row r="47" spans="1:14" x14ac:dyDescent="0.55000000000000004">
      <c r="A47" s="173" t="str">
        <v>RTHISTORICALVOL</v>
      </c>
      <c r="B47" s="187"/>
      <c r="C47" s="197" t="s">
        <v>520</v>
      </c>
      <c r="L47" s="22">
        <v>64</v>
      </c>
      <c r="M47" s="22" t="s">
        <v>242</v>
      </c>
      <c r="N47" s="22" t="s">
        <v>309</v>
      </c>
    </row>
    <row r="48" spans="1:14" x14ac:dyDescent="0.55000000000000004">
      <c r="A48" s="173" t="str">
        <v>IBDIVIDENDS</v>
      </c>
      <c r="B48" s="187"/>
      <c r="C48" s="197" t="s">
        <v>521</v>
      </c>
      <c r="L48" s="22">
        <v>65</v>
      </c>
      <c r="M48" s="22" t="s">
        <v>244</v>
      </c>
      <c r="N48" s="22" t="s">
        <v>310</v>
      </c>
    </row>
    <row r="49" spans="1:14" x14ac:dyDescent="0.55000000000000004">
      <c r="A49" s="173" t="str">
        <v>BONDMULTIPLIER</v>
      </c>
      <c r="B49" s="187"/>
      <c r="C49" s="197" t="s">
        <v>522</v>
      </c>
      <c r="L49" s="22">
        <v>66</v>
      </c>
      <c r="M49" s="22" t="s">
        <v>174</v>
      </c>
      <c r="N49" s="22" t="s">
        <v>311</v>
      </c>
    </row>
    <row r="50" spans="1:14" x14ac:dyDescent="0.55000000000000004">
      <c r="A50" s="173" t="str">
        <v>REGULATORYIMBALANCE</v>
      </c>
      <c r="B50" s="187"/>
      <c r="C50" s="197" t="s">
        <v>232</v>
      </c>
      <c r="L50" s="22">
        <v>67</v>
      </c>
      <c r="M50" s="22" t="s">
        <v>175</v>
      </c>
      <c r="N50" s="22" t="s">
        <v>312</v>
      </c>
    </row>
    <row r="51" spans="1:14" x14ac:dyDescent="0.55000000000000004">
      <c r="A51" s="173" t="str">
        <v>SHORTTERMVOLUME3MIN</v>
      </c>
      <c r="B51" s="189"/>
      <c r="C51" s="197" t="s">
        <v>241</v>
      </c>
      <c r="L51" s="22">
        <v>68</v>
      </c>
      <c r="M51" s="22" t="s">
        <v>176</v>
      </c>
      <c r="N51" s="22" t="s">
        <v>313</v>
      </c>
    </row>
    <row r="52" spans="1:14" x14ac:dyDescent="0.55000000000000004">
      <c r="A52" s="173" t="str">
        <v>SHORTTERMVOLUME5MIN</v>
      </c>
      <c r="B52" s="189"/>
      <c r="C52" s="197" t="s">
        <v>243</v>
      </c>
      <c r="L52" s="22">
        <v>69</v>
      </c>
      <c r="M52" s="22" t="s">
        <v>177</v>
      </c>
      <c r="N52" s="22" t="s">
        <v>314</v>
      </c>
    </row>
    <row r="53" spans="1:14" x14ac:dyDescent="0.55000000000000004">
      <c r="A53" s="173" t="str">
        <v>SHORTTERMVOLUME10MIN</v>
      </c>
      <c r="B53" s="189"/>
      <c r="C53" s="197" t="s">
        <v>245</v>
      </c>
      <c r="L53" s="22">
        <v>70</v>
      </c>
      <c r="M53" s="22" t="s">
        <v>178</v>
      </c>
      <c r="N53" s="22" t="s">
        <v>315</v>
      </c>
    </row>
    <row r="54" spans="1:14" x14ac:dyDescent="0.55000000000000004">
      <c r="A54" s="173" t="str">
        <v>DELAYEDBID</v>
      </c>
      <c r="B54" s="187"/>
      <c r="C54" s="197" t="s">
        <v>532</v>
      </c>
      <c r="L54" s="22">
        <v>71</v>
      </c>
      <c r="M54" s="22" t="s">
        <v>179</v>
      </c>
      <c r="N54" s="22" t="s">
        <v>316</v>
      </c>
    </row>
    <row r="55" spans="1:14" x14ac:dyDescent="0.55000000000000004">
      <c r="A55" s="173" t="str">
        <v>DELAYEDASK</v>
      </c>
      <c r="B55" s="187"/>
      <c r="C55" s="197" t="s">
        <v>533</v>
      </c>
      <c r="L55" s="22">
        <v>72</v>
      </c>
      <c r="M55" s="22" t="s">
        <v>180</v>
      </c>
      <c r="N55" s="22" t="s">
        <v>317</v>
      </c>
    </row>
    <row r="56" spans="1:14" x14ac:dyDescent="0.55000000000000004">
      <c r="A56" s="173" t="str">
        <v>DELAYEDLAST</v>
      </c>
      <c r="B56" s="187"/>
      <c r="C56" s="197" t="s">
        <v>534</v>
      </c>
      <c r="L56" s="22">
        <v>73</v>
      </c>
      <c r="M56" s="22" t="s">
        <v>181</v>
      </c>
      <c r="N56" s="22" t="s">
        <v>318</v>
      </c>
    </row>
    <row r="57" spans="1:14" x14ac:dyDescent="0.55000000000000004">
      <c r="A57" s="173" t="str">
        <v>DELAYEDBIDSIZE</v>
      </c>
      <c r="B57" s="187"/>
      <c r="C57" s="197" t="s">
        <v>535</v>
      </c>
      <c r="L57" s="22">
        <v>74</v>
      </c>
      <c r="M57" s="22" t="s">
        <v>182</v>
      </c>
      <c r="N57" s="22" t="s">
        <v>319</v>
      </c>
    </row>
    <row r="58" spans="1:14" x14ac:dyDescent="0.55000000000000004">
      <c r="A58" s="173" t="str">
        <v>DELAYEDASKSIZE</v>
      </c>
      <c r="B58" s="187"/>
      <c r="C58" s="197" t="s">
        <v>536</v>
      </c>
      <c r="L58" s="22">
        <v>75</v>
      </c>
      <c r="M58" s="22" t="s">
        <v>183</v>
      </c>
      <c r="N58" s="22" t="s">
        <v>320</v>
      </c>
    </row>
    <row r="59" spans="1:14" x14ac:dyDescent="0.55000000000000004">
      <c r="A59" s="173" t="str">
        <v>DELAYEDLASTSIZE</v>
      </c>
      <c r="B59" s="187"/>
      <c r="C59" s="197" t="s">
        <v>537</v>
      </c>
      <c r="L59" s="22">
        <v>76</v>
      </c>
      <c r="M59" s="22" t="s">
        <v>184</v>
      </c>
      <c r="N59" s="22" t="s">
        <v>321</v>
      </c>
    </row>
    <row r="60" spans="1:14" x14ac:dyDescent="0.55000000000000004">
      <c r="A60" s="173" t="str">
        <v>DELAYEDHIGH</v>
      </c>
      <c r="B60" s="187"/>
      <c r="C60" s="197" t="s">
        <v>538</v>
      </c>
      <c r="L60" s="22">
        <v>78</v>
      </c>
      <c r="M60" s="22" t="s">
        <v>234</v>
      </c>
      <c r="N60" s="22" t="s">
        <v>322</v>
      </c>
    </row>
    <row r="61" spans="1:14" x14ac:dyDescent="0.55000000000000004">
      <c r="A61" s="173" t="str">
        <v>DELAYEDLOW</v>
      </c>
      <c r="B61" s="187"/>
      <c r="C61" s="197" t="s">
        <v>539</v>
      </c>
      <c r="L61" s="22">
        <v>79</v>
      </c>
      <c r="M61" s="22" t="s">
        <v>235</v>
      </c>
      <c r="N61" s="22" t="s">
        <v>323</v>
      </c>
    </row>
    <row r="62" spans="1:14" x14ac:dyDescent="0.55000000000000004">
      <c r="A62" s="173" t="str">
        <v>DELAYEDVOLUME</v>
      </c>
      <c r="B62" s="187"/>
      <c r="C62" s="197" t="s">
        <v>540</v>
      </c>
      <c r="L62" s="22">
        <v>84</v>
      </c>
      <c r="M62" s="22" t="s">
        <v>191</v>
      </c>
      <c r="N62" s="22" t="s">
        <v>324</v>
      </c>
    </row>
    <row r="63" spans="1:14" x14ac:dyDescent="0.55000000000000004">
      <c r="A63" s="173" t="str">
        <v>DELAYEDCLOSE</v>
      </c>
      <c r="B63" s="187"/>
      <c r="C63" s="197" t="s">
        <v>541</v>
      </c>
      <c r="L63" s="22">
        <v>86</v>
      </c>
      <c r="M63" s="22" t="s">
        <v>247</v>
      </c>
      <c r="N63" s="22" t="s">
        <v>325</v>
      </c>
    </row>
    <row r="64" spans="1:14" x14ac:dyDescent="0.55000000000000004">
      <c r="A64" s="173" t="str">
        <v>DELAYEDOPEN</v>
      </c>
      <c r="B64" s="187"/>
      <c r="C64" s="197" t="s">
        <v>542</v>
      </c>
      <c r="L64" s="22">
        <v>87</v>
      </c>
      <c r="M64" s="22" t="s">
        <v>216</v>
      </c>
      <c r="N64" s="22" t="s">
        <v>326</v>
      </c>
    </row>
    <row r="65" spans="1:14" x14ac:dyDescent="0.55000000000000004">
      <c r="A65" s="173" t="str">
        <v>CREDITMANMARKPRICE</v>
      </c>
      <c r="B65" s="187"/>
      <c r="C65" s="197" t="s">
        <v>523</v>
      </c>
      <c r="L65" s="22">
        <v>88</v>
      </c>
      <c r="M65" s="22" t="s">
        <v>185</v>
      </c>
      <c r="N65" s="22" t="s">
        <v>327</v>
      </c>
    </row>
    <row r="66" spans="1:14" x14ac:dyDescent="0.55000000000000004">
      <c r="A66" s="173" t="str">
        <v>CREDITMANSLOWMARKPRICE</v>
      </c>
      <c r="B66" s="187"/>
      <c r="C66" s="197" t="s">
        <v>524</v>
      </c>
      <c r="L66" s="22">
        <v>89</v>
      </c>
      <c r="M66" s="22" t="s">
        <v>223</v>
      </c>
      <c r="N66" s="22" t="s">
        <v>328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329</v>
      </c>
    </row>
    <row r="68" spans="1:14" x14ac:dyDescent="0.55000000000000004">
      <c r="A68" s="173" t="str">
        <v>FUTURESOPENINTEREST</v>
      </c>
      <c r="B68" s="187"/>
      <c r="C68" s="197" t="s">
        <v>525</v>
      </c>
      <c r="L68" s="22">
        <v>96</v>
      </c>
      <c r="M68" s="22" t="s">
        <v>248</v>
      </c>
      <c r="N68" s="22" t="s">
        <v>330</v>
      </c>
    </row>
    <row r="69" spans="1:14" x14ac:dyDescent="0.55000000000000004">
      <c r="A69" s="173" t="str">
        <v>AVGOPTVOLUME</v>
      </c>
      <c r="B69" s="189"/>
      <c r="C69" s="197" t="s">
        <v>217</v>
      </c>
      <c r="L69" s="22">
        <v>97</v>
      </c>
      <c r="M69" s="22" t="s">
        <v>249</v>
      </c>
      <c r="N69" s="22" t="s">
        <v>331</v>
      </c>
    </row>
    <row r="70" spans="1:14" x14ac:dyDescent="0.55000000000000004">
      <c r="A70" s="173" t="str">
        <v>DELAYEDLASTTIMESTAMP</v>
      </c>
      <c r="B70" s="189"/>
      <c r="C70" s="197" t="s">
        <v>526</v>
      </c>
      <c r="L70" s="22">
        <v>98</v>
      </c>
      <c r="M70" s="22" t="s">
        <v>250</v>
      </c>
      <c r="N70" s="22" t="s">
        <v>332</v>
      </c>
    </row>
    <row r="71" spans="1:14" x14ac:dyDescent="0.55000000000000004">
      <c r="A71" s="173" t="str">
        <v>SHORTABLESHARES</v>
      </c>
      <c r="B71" s="189"/>
      <c r="C71" s="197" t="s">
        <v>224</v>
      </c>
      <c r="L71" s="22">
        <v>99</v>
      </c>
      <c r="M71" s="22" t="s">
        <v>251</v>
      </c>
      <c r="N71" s="22" t="s">
        <v>333</v>
      </c>
    </row>
    <row r="72" spans="1:14" x14ac:dyDescent="0.55000000000000004">
      <c r="A72" s="173" t="str">
        <v>DELAYEDHALTED</v>
      </c>
      <c r="B72" s="189"/>
      <c r="C72" s="197" t="s">
        <v>527</v>
      </c>
      <c r="L72" s="22">
        <v>101</v>
      </c>
      <c r="M72" s="22" t="s">
        <v>252</v>
      </c>
      <c r="N72" s="22" t="s">
        <v>334</v>
      </c>
    </row>
    <row r="73" spans="1:14" x14ac:dyDescent="0.55000000000000004">
      <c r="A73" s="173" t="str">
        <v>ETFNAVLAST</v>
      </c>
      <c r="B73" s="187"/>
      <c r="C73" s="197" t="s">
        <v>528</v>
      </c>
      <c r="L73" s="22">
        <v>102</v>
      </c>
      <c r="M73" s="22" t="s">
        <v>254</v>
      </c>
      <c r="N73" s="22" t="s">
        <v>335</v>
      </c>
    </row>
    <row r="74" spans="1:14" x14ac:dyDescent="0.55000000000000004">
      <c r="A74" s="173" t="str">
        <v>ETFFROZENNAVLAST</v>
      </c>
      <c r="B74" s="187"/>
      <c r="C74" s="197" t="s">
        <v>529</v>
      </c>
    </row>
    <row r="75" spans="1:14" x14ac:dyDescent="0.55000000000000004">
      <c r="A75" s="173" t="str">
        <v>ETFNAVHIGH</v>
      </c>
      <c r="B75" s="187"/>
      <c r="C75" s="197" t="s">
        <v>530</v>
      </c>
    </row>
    <row r="76" spans="1:14" x14ac:dyDescent="0.55000000000000004">
      <c r="A76" s="173" t="str">
        <v>ETFNAVLOW</v>
      </c>
      <c r="B76" s="187"/>
      <c r="C76" s="197" t="s">
        <v>531</v>
      </c>
    </row>
    <row r="77" spans="1:14" x14ac:dyDescent="0.55000000000000004">
      <c r="A77" s="173" t="str">
        <v>ESTIMATEDIPOMIDPOINT</v>
      </c>
      <c r="B77" s="187"/>
      <c r="C77" s="197" t="s">
        <v>253</v>
      </c>
    </row>
    <row r="78" spans="1:14" x14ac:dyDescent="0.55000000000000004">
      <c r="A78" s="173" t="str">
        <v>FINALIPOLAST</v>
      </c>
      <c r="B78" s="187"/>
      <c r="C78" s="197" t="s">
        <v>255</v>
      </c>
    </row>
  </sheetData>
  <sortState xmlns:xlrd2="http://schemas.microsoft.com/office/spreadsheetml/2017/richdata2" ref="G11:I80">
    <sortCondition ref="G9:G80"/>
  </sortState>
  <mergeCells count="4">
    <mergeCell ref="I1:I2"/>
    <mergeCell ref="A4:C4"/>
    <mergeCell ref="B5:C5"/>
    <mergeCell ref="F4:G4"/>
  </mergeCells>
  <conditionalFormatting sqref="A6:C78">
    <cfRule type="expression" dxfId="22" priority="2">
      <formula>ISODD(ROW())</formula>
    </cfRule>
  </conditionalFormatting>
  <conditionalFormatting sqref="F5:I13">
    <cfRule type="expression" dxfId="21" priority="1">
      <formula>ISODD(ROW())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600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82" t="e" vm="1">
        <v>#VALUE!</v>
      </c>
      <c r="P1" s="282"/>
      <c r="Q1" s="282"/>
      <c r="S1" s="202"/>
      <c r="T1" s="222" t="s">
        <v>671</v>
      </c>
      <c r="U1" s="203" t="s">
        <v>675</v>
      </c>
      <c r="V1" s="203">
        <f>_xlfn.XMATCH(J3,U:U,1,2)</f>
        <v>1</v>
      </c>
      <c r="W1" s="223" t="s">
        <v>672</v>
      </c>
      <c r="X1" s="55"/>
    </row>
    <row r="2" spans="1:24" ht="14.25" customHeight="1" x14ac:dyDescent="0.55000000000000004">
      <c r="A2" s="224"/>
      <c r="B2" s="231" t="s">
        <v>631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82"/>
      <c r="P2" s="282"/>
      <c r="Q2" s="282"/>
      <c r="U2" s="203"/>
      <c r="V2" s="202"/>
      <c r="W2" s="55"/>
      <c r="X2" s="202"/>
    </row>
    <row r="3" spans="1:24" ht="14.65" thickBot="1" x14ac:dyDescent="0.5">
      <c r="A3" s="228" t="s">
        <v>670</v>
      </c>
      <c r="B3" s="232" t="s">
        <v>669</v>
      </c>
      <c r="C3" s="279" t="str">
        <f>A4&amp;" "&amp;A5&amp;" Calls"</f>
        <v>SPY 20260731 Calls</v>
      </c>
      <c r="D3" s="280"/>
      <c r="E3" s="280"/>
      <c r="F3" s="280"/>
      <c r="G3" s="280"/>
      <c r="H3" s="280"/>
      <c r="I3" s="281"/>
      <c r="J3" s="198" t="s">
        <v>676</v>
      </c>
      <c r="K3" s="279" t="str">
        <f>A4&amp;" "&amp;A5&amp;" Puts"</f>
        <v>SPY 20260731 Puts</v>
      </c>
      <c r="L3" s="280"/>
      <c r="M3" s="280"/>
      <c r="N3" s="280"/>
      <c r="O3" s="280"/>
      <c r="P3" s="280"/>
      <c r="Q3" s="281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266</v>
      </c>
      <c r="B4" s="233" t="s">
        <v>668</v>
      </c>
      <c r="C4" s="237" t="s">
        <v>455</v>
      </c>
      <c r="D4" s="237" t="s">
        <v>456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457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456</v>
      </c>
      <c r="Q4" s="238" t="s">
        <v>455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 t="s">
        <v>467</v>
      </c>
      <c r="B5" s="234" t="s">
        <v>667</v>
      </c>
      <c r="C5" s="204" t="s">
        <v>677</v>
      </c>
      <c r="D5" s="205" t="s">
        <v>678</v>
      </c>
      <c r="E5" s="202" t="s">
        <v>679</v>
      </c>
      <c r="F5" s="202"/>
      <c r="G5" s="206"/>
      <c r="H5" s="206"/>
      <c r="I5" s="202"/>
      <c r="J5" s="198" t="s">
        <v>680</v>
      </c>
      <c r="K5" s="202" t="s">
        <v>681</v>
      </c>
      <c r="L5" s="206"/>
      <c r="M5" s="206"/>
      <c r="N5" s="202"/>
      <c r="O5" s="202"/>
      <c r="P5" s="205" t="s">
        <v>682</v>
      </c>
      <c r="Q5" s="207" t="s">
        <v>683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673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674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 r:id="rId1"/>
  <ignoredErrors>
    <ignoredError sqref="A5 A3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600</v>
      </c>
      <c r="C1" s="269" t="e" vm="1">
        <v>#VALUE!</v>
      </c>
      <c r="D1" s="270"/>
      <c r="E1" s="255"/>
      <c r="F1" s="22" t="s">
        <v>690</v>
      </c>
    </row>
    <row r="2" spans="1:8" x14ac:dyDescent="0.55000000000000004">
      <c r="A2" s="2"/>
      <c r="B2" s="247" t="s">
        <v>631</v>
      </c>
      <c r="C2" s="269"/>
      <c r="D2" s="270"/>
      <c r="E2" s="255"/>
      <c r="F2" s="22" t="s">
        <v>689</v>
      </c>
    </row>
    <row r="3" spans="1:8" x14ac:dyDescent="0.55000000000000004">
      <c r="A3" s="169"/>
      <c r="B3" s="246"/>
      <c r="C3" s="249" t="s">
        <v>598</v>
      </c>
      <c r="D3" s="250">
        <v>0</v>
      </c>
      <c r="E3" s="255"/>
      <c r="F3" s="22" t="s">
        <v>691</v>
      </c>
    </row>
    <row r="4" spans="1:8" ht="16.5" x14ac:dyDescent="0.6">
      <c r="A4" s="243"/>
      <c r="B4" s="245" t="s">
        <v>687</v>
      </c>
      <c r="C4" s="248"/>
      <c r="D4" s="251" t="s">
        <v>686</v>
      </c>
      <c r="E4" s="255"/>
      <c r="F4" s="263" t="s">
        <v>706</v>
      </c>
      <c r="G4" s="264"/>
      <c r="H4" s="264"/>
    </row>
    <row r="5" spans="1:8" x14ac:dyDescent="0.55000000000000004">
      <c r="A5" s="254" t="s">
        <v>0</v>
      </c>
      <c r="B5" s="256" t="s">
        <v>266</v>
      </c>
      <c r="C5" s="260" t="s">
        <v>497</v>
      </c>
      <c r="D5" s="261"/>
    </row>
    <row r="6" spans="1:8" x14ac:dyDescent="0.55000000000000004">
      <c r="A6" s="254" t="s">
        <v>551</v>
      </c>
      <c r="B6" s="256" t="s">
        <v>452</v>
      </c>
      <c r="C6" s="260" t="s">
        <v>692</v>
      </c>
      <c r="D6" s="261"/>
    </row>
    <row r="7" spans="1:8" x14ac:dyDescent="0.55000000000000004">
      <c r="A7" s="254" t="s">
        <v>552</v>
      </c>
      <c r="B7" s="256">
        <v>5</v>
      </c>
      <c r="C7" s="260" t="s">
        <v>498</v>
      </c>
      <c r="D7" s="261"/>
    </row>
    <row r="8" spans="1:8" x14ac:dyDescent="0.55000000000000004">
      <c r="A8" s="254" t="s">
        <v>553</v>
      </c>
      <c r="B8" s="256" t="s">
        <v>499</v>
      </c>
      <c r="C8" s="260" t="s">
        <v>693</v>
      </c>
      <c r="D8" s="261"/>
      <c r="F8" s="166"/>
    </row>
    <row r="9" spans="1:8" x14ac:dyDescent="0.55000000000000004">
      <c r="A9" s="254" t="s">
        <v>554</v>
      </c>
      <c r="B9" s="256">
        <v>100.25</v>
      </c>
      <c r="C9" s="260" t="s">
        <v>694</v>
      </c>
      <c r="D9" s="261"/>
      <c r="F9" s="239" t="s">
        <v>688</v>
      </c>
      <c r="G9" s="239"/>
    </row>
    <row r="10" spans="1:8" x14ac:dyDescent="0.55000000000000004">
      <c r="A10" s="254" t="s">
        <v>555</v>
      </c>
      <c r="B10" s="256"/>
      <c r="C10" s="260" t="s">
        <v>695</v>
      </c>
      <c r="D10" s="261"/>
      <c r="E10" s="262"/>
      <c r="F10" s="252" t="s">
        <v>507</v>
      </c>
      <c r="G10" s="252" t="s">
        <v>508</v>
      </c>
      <c r="H10" s="252" t="s">
        <v>509</v>
      </c>
    </row>
    <row r="11" spans="1:8" x14ac:dyDescent="0.55000000000000004">
      <c r="A11" s="254" t="s">
        <v>340</v>
      </c>
      <c r="B11" s="256"/>
      <c r="C11" s="260" t="s">
        <v>550</v>
      </c>
      <c r="D11" s="261"/>
      <c r="E11" s="262"/>
      <c r="F11" s="240" t="s">
        <v>510</v>
      </c>
      <c r="G11" s="253" t="s">
        <v>707</v>
      </c>
      <c r="H11" s="240" t="s">
        <v>590</v>
      </c>
    </row>
    <row r="12" spans="1:8" x14ac:dyDescent="0.55000000000000004">
      <c r="A12" s="254" t="s">
        <v>265</v>
      </c>
      <c r="B12" s="256"/>
      <c r="C12" s="260" t="s">
        <v>696</v>
      </c>
      <c r="D12" s="261"/>
      <c r="E12" s="262"/>
      <c r="F12" s="240" t="s">
        <v>580</v>
      </c>
      <c r="G12" s="253" t="s">
        <v>708</v>
      </c>
      <c r="H12" s="240" t="s">
        <v>589</v>
      </c>
    </row>
    <row r="13" spans="1:8" x14ac:dyDescent="0.55000000000000004">
      <c r="A13" s="254" t="s">
        <v>556</v>
      </c>
      <c r="B13" s="257"/>
      <c r="C13" s="260" t="s">
        <v>697</v>
      </c>
      <c r="D13" s="261"/>
      <c r="E13" s="262"/>
      <c r="F13" s="240" t="s">
        <v>581</v>
      </c>
      <c r="G13" s="253" t="s">
        <v>709</v>
      </c>
      <c r="H13" s="240" t="s">
        <v>588</v>
      </c>
    </row>
    <row r="14" spans="1:8" x14ac:dyDescent="0.55000000000000004">
      <c r="A14" s="254" t="s">
        <v>557</v>
      </c>
      <c r="B14" s="257"/>
      <c r="C14" s="260" t="s">
        <v>500</v>
      </c>
      <c r="D14" s="261"/>
      <c r="E14" s="262"/>
      <c r="F14" s="240" t="s">
        <v>684</v>
      </c>
      <c r="G14" s="253" t="s">
        <v>710</v>
      </c>
      <c r="H14" s="240" t="s">
        <v>587</v>
      </c>
    </row>
    <row r="15" spans="1:8" x14ac:dyDescent="0.55000000000000004">
      <c r="A15" s="254" t="s">
        <v>339</v>
      </c>
      <c r="B15" s="256"/>
      <c r="C15" s="260" t="s">
        <v>698</v>
      </c>
      <c r="D15" s="261"/>
      <c r="E15" s="262"/>
      <c r="F15" s="240" t="s">
        <v>543</v>
      </c>
      <c r="G15" s="253" t="s">
        <v>711</v>
      </c>
      <c r="H15" s="240" t="s">
        <v>591</v>
      </c>
    </row>
    <row r="16" spans="1:8" x14ac:dyDescent="0.55000000000000004">
      <c r="A16" s="254" t="s">
        <v>558</v>
      </c>
      <c r="B16" s="256"/>
      <c r="C16" s="260" t="s">
        <v>501</v>
      </c>
      <c r="D16" s="261"/>
      <c r="E16" s="262"/>
      <c r="F16" s="240" t="s">
        <v>544</v>
      </c>
      <c r="G16" s="253" t="s">
        <v>712</v>
      </c>
      <c r="H16" s="240" t="s">
        <v>592</v>
      </c>
    </row>
    <row r="17" spans="1:8" x14ac:dyDescent="0.55000000000000004">
      <c r="A17" s="254" t="s">
        <v>338</v>
      </c>
      <c r="B17" s="256"/>
      <c r="C17" s="260" t="s">
        <v>698</v>
      </c>
      <c r="D17" s="261"/>
      <c r="E17" s="262"/>
      <c r="F17" s="240" t="s">
        <v>545</v>
      </c>
      <c r="G17" s="253" t="s">
        <v>713</v>
      </c>
      <c r="H17" s="240" t="s">
        <v>585</v>
      </c>
    </row>
    <row r="18" spans="1:8" x14ac:dyDescent="0.55000000000000004">
      <c r="A18" s="254" t="s">
        <v>559</v>
      </c>
      <c r="B18" s="256"/>
      <c r="C18" s="260" t="s">
        <v>698</v>
      </c>
      <c r="D18" s="261"/>
      <c r="E18" s="262"/>
      <c r="F18" s="240" t="s">
        <v>685</v>
      </c>
      <c r="G18" s="253" t="s">
        <v>714</v>
      </c>
      <c r="H18" s="240" t="s">
        <v>586</v>
      </c>
    </row>
    <row r="19" spans="1:8" x14ac:dyDescent="0.55000000000000004">
      <c r="A19" s="254" t="s">
        <v>560</v>
      </c>
      <c r="B19" s="256"/>
      <c r="C19" s="260" t="s">
        <v>502</v>
      </c>
      <c r="D19" s="261"/>
      <c r="E19" s="262"/>
      <c r="F19" s="240" t="s">
        <v>570</v>
      </c>
      <c r="G19" s="253" t="s">
        <v>715</v>
      </c>
      <c r="H19" s="241" t="s">
        <v>606</v>
      </c>
    </row>
    <row r="20" spans="1:8" x14ac:dyDescent="0.55000000000000004">
      <c r="A20" s="254" t="s">
        <v>561</v>
      </c>
      <c r="B20" s="256"/>
      <c r="C20" s="260" t="s">
        <v>567</v>
      </c>
      <c r="D20" s="261"/>
      <c r="E20" s="262"/>
      <c r="F20" s="240" t="s">
        <v>605</v>
      </c>
      <c r="G20" s="253" t="s">
        <v>716</v>
      </c>
      <c r="H20" s="240"/>
    </row>
    <row r="21" spans="1:8" x14ac:dyDescent="0.55000000000000004">
      <c r="A21" s="254" t="s">
        <v>562</v>
      </c>
      <c r="B21" s="256"/>
      <c r="C21" s="260" t="s">
        <v>568</v>
      </c>
      <c r="D21" s="261"/>
      <c r="E21" s="262"/>
      <c r="F21" s="240" t="s">
        <v>582</v>
      </c>
      <c r="G21" s="253" t="s">
        <v>717</v>
      </c>
      <c r="H21" s="240" t="s">
        <v>584</v>
      </c>
    </row>
    <row r="22" spans="1:8" x14ac:dyDescent="0.55000000000000004">
      <c r="A22" s="254" t="s">
        <v>563</v>
      </c>
      <c r="B22" s="256"/>
      <c r="C22" s="260" t="s">
        <v>699</v>
      </c>
      <c r="D22" s="261"/>
      <c r="E22" s="262"/>
      <c r="F22" s="240" t="s">
        <v>583</v>
      </c>
      <c r="G22" s="253" t="s">
        <v>718</v>
      </c>
      <c r="H22" s="240" t="s">
        <v>593</v>
      </c>
    </row>
    <row r="23" spans="1:8" x14ac:dyDescent="0.55000000000000004">
      <c r="A23" s="254" t="s">
        <v>259</v>
      </c>
      <c r="B23" s="256"/>
      <c r="C23" s="260" t="s">
        <v>547</v>
      </c>
      <c r="D23" s="261"/>
      <c r="E23" s="262"/>
      <c r="F23" s="240" t="s">
        <v>492</v>
      </c>
      <c r="G23" s="253" t="s">
        <v>719</v>
      </c>
      <c r="H23" s="240"/>
    </row>
    <row r="24" spans="1:8" x14ac:dyDescent="0.55000000000000004">
      <c r="A24" s="254" t="s">
        <v>564</v>
      </c>
      <c r="B24" s="256"/>
      <c r="C24" s="260" t="s">
        <v>604</v>
      </c>
      <c r="D24" s="261"/>
      <c r="E24" s="262"/>
      <c r="F24" s="240" t="s">
        <v>571</v>
      </c>
      <c r="G24" s="253" t="s">
        <v>720</v>
      </c>
      <c r="H24" s="240" t="s">
        <v>594</v>
      </c>
    </row>
    <row r="25" spans="1:8" x14ac:dyDescent="0.55000000000000004">
      <c r="A25" s="254" t="s">
        <v>569</v>
      </c>
      <c r="B25" s="256"/>
      <c r="C25" s="260" t="s">
        <v>700</v>
      </c>
      <c r="D25" s="261"/>
      <c r="E25" s="262"/>
      <c r="F25" s="240" t="s">
        <v>546</v>
      </c>
      <c r="G25" s="253" t="s">
        <v>721</v>
      </c>
      <c r="H25" s="240"/>
    </row>
    <row r="26" spans="1:8" x14ac:dyDescent="0.55000000000000004">
      <c r="A26" s="254" t="s">
        <v>336</v>
      </c>
      <c r="B26" s="256"/>
      <c r="C26" s="260" t="s">
        <v>701</v>
      </c>
      <c r="D26" s="261"/>
      <c r="E26" s="262"/>
      <c r="F26" s="258" t="s">
        <v>511</v>
      </c>
      <c r="G26" s="259" t="s">
        <v>722</v>
      </c>
      <c r="H26" s="258"/>
    </row>
    <row r="27" spans="1:8" x14ac:dyDescent="0.55000000000000004">
      <c r="A27" s="254" t="s">
        <v>337</v>
      </c>
      <c r="B27" s="256"/>
      <c r="C27" s="260" t="s">
        <v>702</v>
      </c>
      <c r="D27" s="261"/>
      <c r="F27" s="242"/>
      <c r="G27" s="240"/>
      <c r="H27" s="240"/>
    </row>
    <row r="28" spans="1:8" x14ac:dyDescent="0.55000000000000004">
      <c r="A28" s="254" t="s">
        <v>575</v>
      </c>
      <c r="B28" s="256"/>
      <c r="C28" s="260" t="s">
        <v>703</v>
      </c>
      <c r="D28" s="261"/>
    </row>
    <row r="29" spans="1:8" x14ac:dyDescent="0.55000000000000004">
      <c r="A29" s="254" t="s">
        <v>16</v>
      </c>
      <c r="B29" s="256"/>
      <c r="C29" s="260" t="s">
        <v>704</v>
      </c>
      <c r="D29" s="261"/>
    </row>
    <row r="30" spans="1:8" x14ac:dyDescent="0.55000000000000004">
      <c r="A30" s="254" t="s">
        <v>576</v>
      </c>
      <c r="B30" s="257"/>
      <c r="C30" s="260" t="s">
        <v>503</v>
      </c>
      <c r="D30" s="261"/>
    </row>
    <row r="31" spans="1:8" x14ac:dyDescent="0.55000000000000004">
      <c r="A31" s="254" t="s">
        <v>457</v>
      </c>
      <c r="B31" s="256"/>
      <c r="C31" s="260" t="s">
        <v>504</v>
      </c>
      <c r="D31" s="261"/>
    </row>
    <row r="32" spans="1:8" x14ac:dyDescent="0.55000000000000004">
      <c r="A32" s="254" t="s">
        <v>565</v>
      </c>
      <c r="B32" s="256"/>
      <c r="C32" s="260" t="s">
        <v>705</v>
      </c>
      <c r="D32" s="261"/>
    </row>
    <row r="33" spans="1:4" x14ac:dyDescent="0.55000000000000004">
      <c r="A33" s="254" t="s">
        <v>577</v>
      </c>
      <c r="B33" s="256"/>
      <c r="C33" s="260" t="s">
        <v>505</v>
      </c>
      <c r="D33" s="261"/>
    </row>
    <row r="34" spans="1:4" x14ac:dyDescent="0.55000000000000004">
      <c r="A34" s="254" t="s">
        <v>578</v>
      </c>
      <c r="B34" s="257"/>
      <c r="C34" s="260" t="s">
        <v>548</v>
      </c>
      <c r="D34" s="261"/>
    </row>
    <row r="35" spans="1:4" x14ac:dyDescent="0.55000000000000004">
      <c r="A35" s="254" t="s">
        <v>566</v>
      </c>
      <c r="B35" s="256"/>
      <c r="C35" s="260" t="s">
        <v>549</v>
      </c>
      <c r="D35" s="261"/>
    </row>
    <row r="36" spans="1:4" x14ac:dyDescent="0.55000000000000004">
      <c r="A36" s="254" t="s">
        <v>579</v>
      </c>
      <c r="B36" s="256"/>
      <c r="C36" s="260" t="s">
        <v>506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2026-07-31T01:05:50Z</dcterms:modified>
</cp:coreProperties>
</file>